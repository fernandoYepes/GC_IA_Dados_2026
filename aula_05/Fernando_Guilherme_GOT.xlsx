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403F\EXCELCNV\2ee747ec-7a2b-44a9-a5d5-d48673e2101e\"/>
    </mc:Choice>
  </mc:AlternateContent>
  <xr:revisionPtr revIDLastSave="0" documentId="8_{C63491D0-1AC0-4580-B7B6-8AF3AC623C6D}" xr6:coauthVersionLast="47" xr6:coauthVersionMax="47" xr10:uidLastSave="{00000000-0000-0000-0000-000000000000}"/>
  <bookViews>
    <workbookView xWindow="-60" yWindow="-60" windowWidth="15480" windowHeight="11640" activeTab="1" xr2:uid="{997CB4D2-7093-464E-8599-5CAF2A8B78DF}"/>
  </bookViews>
  <sheets>
    <sheet name="Dados_Brutos" sheetId="4" r:id="rId1"/>
    <sheet name="Dados_Limpos" sheetId="1" r:id="rId2"/>
    <sheet name="Registro_Limpeza" sheetId="2" r:id="rId3"/>
    <sheet name="Analise" sheetId="3" r:id="rId4"/>
  </sheets>
  <definedNames>
    <definedName name="_xlnm._FilterDatabase" localSheetId="1" hidden="1">Dados_Limpos!$A$1:$P$1</definedName>
  </definedNames>
  <calcPr calcId="191028"/>
  <pivotCaches>
    <pivotCache cacheId="144" r:id="rId5"/>
    <pivotCache cacheId="148" r:id="rId6"/>
    <pivotCache cacheId="15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6" i="1" l="1"/>
  <c r="N110" i="1"/>
  <c r="N105" i="1"/>
  <c r="N168" i="1"/>
  <c r="N121" i="1"/>
  <c r="N69" i="1"/>
  <c r="N116" i="1"/>
  <c r="N114" i="1"/>
  <c r="N305" i="1"/>
  <c r="N187" i="1"/>
  <c r="N125" i="1"/>
  <c r="N207" i="1"/>
  <c r="N309" i="1"/>
  <c r="N282" i="1"/>
  <c r="N274" i="1"/>
  <c r="N178" i="1"/>
  <c r="N324" i="1"/>
  <c r="N21" i="1"/>
  <c r="N319" i="1"/>
  <c r="N148" i="1"/>
  <c r="N233" i="1"/>
  <c r="N370" i="1"/>
  <c r="N154" i="1"/>
  <c r="N43" i="1"/>
  <c r="N212" i="1"/>
  <c r="N137" i="1"/>
  <c r="N331" i="1"/>
  <c r="N63" i="1"/>
  <c r="N377" i="1"/>
  <c r="N108" i="1"/>
  <c r="N216" i="1"/>
  <c r="N344" i="1"/>
  <c r="N310" i="1"/>
  <c r="N337" i="1"/>
  <c r="N145" i="1"/>
  <c r="N329" i="1"/>
  <c r="N65" i="1"/>
  <c r="N62" i="1"/>
  <c r="N246" i="1"/>
  <c r="N203" i="1"/>
  <c r="N231" i="1"/>
  <c r="N10" i="1"/>
  <c r="N369" i="1"/>
  <c r="N219" i="1"/>
  <c r="N213" i="1"/>
  <c r="N211" i="1"/>
  <c r="N328" i="1"/>
  <c r="N32" i="1"/>
  <c r="N123" i="1"/>
  <c r="N98" i="1"/>
  <c r="N54" i="1"/>
  <c r="N209" i="1"/>
  <c r="N129" i="1"/>
  <c r="N18" i="1"/>
  <c r="N22" i="1"/>
  <c r="N185" i="1"/>
  <c r="N340" i="1"/>
  <c r="N267" i="1"/>
  <c r="N263" i="1"/>
  <c r="N229" i="1"/>
  <c r="N295" i="1"/>
  <c r="N292" i="1"/>
  <c r="N25" i="1"/>
  <c r="N112" i="1"/>
  <c r="N335" i="1"/>
  <c r="N3" i="1"/>
  <c r="N26" i="1"/>
  <c r="N224" i="1"/>
  <c r="N179" i="1"/>
  <c r="N271" i="1"/>
  <c r="N243" i="1"/>
  <c r="N256" i="1"/>
  <c r="N338" i="1"/>
  <c r="N12" i="1"/>
  <c r="N152" i="1"/>
  <c r="N234" i="1"/>
  <c r="N2" i="1"/>
  <c r="N351" i="1"/>
  <c r="N288" i="1"/>
  <c r="N76" i="1"/>
  <c r="N249" i="1"/>
  <c r="N240" i="1"/>
  <c r="N201" i="1"/>
  <c r="N83" i="1"/>
  <c r="N146" i="1"/>
  <c r="N117" i="1"/>
  <c r="N79" i="1"/>
  <c r="N361" i="1"/>
  <c r="N183" i="1"/>
  <c r="N376" i="1"/>
  <c r="N111" i="1"/>
  <c r="N120" i="1"/>
  <c r="N193" i="1"/>
  <c r="N357" i="1"/>
  <c r="N273" i="1"/>
  <c r="N133" i="1"/>
  <c r="N366" i="1"/>
  <c r="N362" i="1"/>
  <c r="N94" i="1"/>
  <c r="N312" i="1"/>
  <c r="N379" i="1"/>
  <c r="N268" i="1"/>
  <c r="N278" i="1"/>
  <c r="N56" i="1"/>
  <c r="N14" i="1"/>
  <c r="N9" i="1"/>
  <c r="N49" i="1"/>
  <c r="N180" i="1"/>
  <c r="N356" i="1"/>
  <c r="N289" i="1"/>
  <c r="N365" i="1"/>
  <c r="N38" i="1"/>
  <c r="N33" i="1"/>
  <c r="N284" i="1"/>
  <c r="N222" i="1"/>
  <c r="N8" i="1"/>
  <c r="N318" i="1"/>
  <c r="N52" i="1"/>
  <c r="N223" i="1"/>
  <c r="N186" i="1"/>
  <c r="N358" i="1"/>
  <c r="N302" i="1"/>
  <c r="N311" i="1"/>
  <c r="N221" i="1"/>
  <c r="N102" i="1"/>
  <c r="N153" i="1"/>
  <c r="N281" i="1"/>
  <c r="N107" i="1"/>
  <c r="N332" i="1"/>
  <c r="N210" i="1"/>
  <c r="N104" i="1"/>
  <c r="N304" i="1"/>
  <c r="N51" i="1"/>
  <c r="N192" i="1"/>
  <c r="N6" i="1"/>
  <c r="N53" i="1"/>
  <c r="N237" i="1"/>
  <c r="N298" i="1"/>
  <c r="N97" i="1"/>
  <c r="N326" i="1"/>
  <c r="N285" i="1"/>
  <c r="N77" i="1"/>
  <c r="N200" i="1"/>
  <c r="N36" i="1"/>
  <c r="N4" i="1"/>
  <c r="N177" i="1"/>
  <c r="N261" i="1"/>
  <c r="N47" i="1"/>
  <c r="N348" i="1"/>
  <c r="N320" i="1"/>
  <c r="N373" i="1"/>
  <c r="N198" i="1"/>
  <c r="N101" i="1"/>
  <c r="N81" i="1"/>
  <c r="N226" i="1"/>
  <c r="N46" i="1"/>
  <c r="N72" i="1"/>
  <c r="N248" i="1"/>
  <c r="N270" i="1"/>
  <c r="N239" i="1"/>
  <c r="N127" i="1"/>
  <c r="N283" i="1"/>
  <c r="N85" i="1"/>
  <c r="N308" i="1"/>
  <c r="N157" i="1"/>
  <c r="N82" i="1"/>
  <c r="N88" i="1"/>
  <c r="N161" i="1"/>
  <c r="N300" i="1"/>
  <c r="N214" i="1"/>
  <c r="N151" i="1"/>
  <c r="N45" i="1"/>
  <c r="N317" i="1"/>
  <c r="N7" i="1"/>
  <c r="N67" i="1"/>
  <c r="N44" i="1"/>
  <c r="N122" i="1"/>
  <c r="N350" i="1"/>
  <c r="N144" i="1"/>
  <c r="N171" i="1"/>
  <c r="N359" i="1"/>
  <c r="N236" i="1"/>
  <c r="N30" i="1"/>
  <c r="N42" i="1"/>
  <c r="N48" i="1"/>
  <c r="N204" i="1"/>
  <c r="N150" i="1"/>
  <c r="N160" i="1"/>
  <c r="N313" i="1"/>
  <c r="N275" i="1"/>
  <c r="N378" i="1"/>
  <c r="N166" i="1"/>
  <c r="N262" i="1"/>
  <c r="N172" i="1"/>
  <c r="N141" i="1"/>
  <c r="N109" i="1"/>
  <c r="N20" i="1"/>
  <c r="N316" i="1"/>
  <c r="N119" i="1"/>
  <c r="N336" i="1"/>
  <c r="N68" i="1"/>
  <c r="N360" i="1"/>
  <c r="N315" i="1"/>
  <c r="N253" i="1"/>
  <c r="N136" i="1"/>
  <c r="N208" i="1"/>
  <c r="N190" i="1"/>
  <c r="N296" i="1"/>
  <c r="N176" i="1"/>
  <c r="N290" i="1"/>
  <c r="N84" i="1"/>
  <c r="N303" i="1"/>
  <c r="N349" i="1"/>
  <c r="N126" i="1"/>
  <c r="N167" i="1"/>
  <c r="N106" i="1"/>
  <c r="N90" i="1"/>
  <c r="N60" i="1"/>
  <c r="N17" i="1"/>
  <c r="N196" i="1"/>
  <c r="N321" i="1"/>
  <c r="N16" i="1"/>
  <c r="N87" i="1"/>
  <c r="N5" i="1"/>
  <c r="N197" i="1"/>
  <c r="N352" i="1"/>
  <c r="N220" i="1"/>
  <c r="N276" i="1"/>
  <c r="N293" i="1"/>
  <c r="N175" i="1"/>
  <c r="N41" i="1"/>
  <c r="N23" i="1"/>
  <c r="N314" i="1"/>
  <c r="N250" i="1"/>
  <c r="N280" i="1"/>
  <c r="N291" i="1"/>
  <c r="N380" i="1"/>
  <c r="N254" i="1"/>
  <c r="N354" i="1"/>
  <c r="N279" i="1"/>
  <c r="N34" i="1"/>
  <c r="N115" i="1"/>
  <c r="N155" i="1"/>
  <c r="N71" i="1"/>
  <c r="N70" i="1"/>
  <c r="N334" i="1"/>
  <c r="N191" i="1"/>
  <c r="N189" i="1"/>
  <c r="N343" i="1"/>
  <c r="N143" i="1"/>
  <c r="N235" i="1"/>
  <c r="N58" i="1"/>
  <c r="N57" i="1"/>
  <c r="N345" i="1"/>
  <c r="N294" i="1"/>
  <c r="N375" i="1"/>
  <c r="N258" i="1"/>
  <c r="N330" i="1"/>
  <c r="N232" i="1"/>
  <c r="N371" i="1"/>
  <c r="N93" i="1"/>
  <c r="N132" i="1"/>
  <c r="N265" i="1"/>
  <c r="N299" i="1"/>
  <c r="N75" i="1"/>
  <c r="N174" i="1"/>
  <c r="N19" i="1"/>
  <c r="N13" i="1"/>
  <c r="N363" i="1"/>
  <c r="N164" i="1"/>
  <c r="N74" i="1"/>
  <c r="N306" i="1"/>
  <c r="N245" i="1"/>
  <c r="N202" i="1"/>
  <c r="N162" i="1"/>
  <c r="N92" i="1"/>
  <c r="N194" i="1"/>
  <c r="N364" i="1"/>
  <c r="N100" i="1"/>
  <c r="N217" i="1"/>
  <c r="N173" i="1"/>
  <c r="N323" i="1"/>
  <c r="N227" i="1"/>
  <c r="N61" i="1"/>
  <c r="N251" i="1"/>
  <c r="N372" i="1"/>
  <c r="N252" i="1"/>
  <c r="N156" i="1"/>
  <c r="N241" i="1"/>
  <c r="N134" i="1"/>
  <c r="N277" i="1"/>
  <c r="N130" i="1"/>
  <c r="N195" i="1"/>
  <c r="N286" i="1"/>
  <c r="N96" i="1"/>
  <c r="N128" i="1"/>
  <c r="N353" i="1"/>
  <c r="N374" i="1"/>
  <c r="N27" i="1"/>
  <c r="N188" i="1"/>
  <c r="N64" i="1"/>
  <c r="N140" i="1"/>
  <c r="N50" i="1"/>
  <c r="N169" i="1"/>
  <c r="N158" i="1"/>
  <c r="N301" i="1"/>
  <c r="N205" i="1"/>
  <c r="N159" i="1"/>
  <c r="N206" i="1"/>
  <c r="N73" i="1"/>
  <c r="N15" i="1"/>
  <c r="N247" i="1"/>
  <c r="N368" i="1"/>
  <c r="N341" i="1"/>
  <c r="N184" i="1"/>
  <c r="N55" i="1"/>
  <c r="N287" i="1"/>
  <c r="N260" i="1"/>
  <c r="N346" i="1"/>
  <c r="N322" i="1"/>
  <c r="N327" i="1"/>
  <c r="N266" i="1"/>
  <c r="N59" i="1"/>
  <c r="N80" i="1"/>
  <c r="N218" i="1"/>
  <c r="N163" i="1"/>
  <c r="N272" i="1"/>
  <c r="N255" i="1"/>
  <c r="N147" i="1"/>
  <c r="N342" i="1"/>
  <c r="N170" i="1"/>
  <c r="N138" i="1"/>
  <c r="N269" i="1"/>
  <c r="N347" i="1"/>
  <c r="N24" i="1"/>
  <c r="N142" i="1"/>
  <c r="N181" i="1"/>
  <c r="N91" i="1"/>
  <c r="N37" i="1"/>
  <c r="N325" i="1"/>
  <c r="N264" i="1"/>
  <c r="N66" i="1"/>
  <c r="N259" i="1"/>
  <c r="N89" i="1"/>
  <c r="N103" i="1"/>
  <c r="N182" i="1"/>
  <c r="N230" i="1"/>
  <c r="N124" i="1"/>
  <c r="N339" i="1"/>
  <c r="N131" i="1"/>
  <c r="N28" i="1"/>
  <c r="N86" i="1"/>
  <c r="N228" i="1"/>
  <c r="N355" i="1"/>
  <c r="N257" i="1"/>
  <c r="N242" i="1"/>
  <c r="N307" i="1"/>
  <c r="N225" i="1"/>
  <c r="N29" i="1"/>
  <c r="N165" i="1"/>
  <c r="N139" i="1"/>
  <c r="N99" i="1"/>
  <c r="N297" i="1"/>
  <c r="N39" i="1"/>
  <c r="N78" i="1"/>
  <c r="N113" i="1"/>
  <c r="N135" i="1"/>
  <c r="N35" i="1"/>
  <c r="N95" i="1"/>
  <c r="N244" i="1"/>
  <c r="L105" i="1"/>
  <c r="M105" i="1" s="1"/>
  <c r="P105" i="1" s="1"/>
  <c r="L168" i="1"/>
  <c r="M168" i="1" s="1"/>
  <c r="P168" i="1" s="1"/>
  <c r="L121" i="1"/>
  <c r="M121" i="1" s="1"/>
  <c r="P121" i="1" s="1"/>
  <c r="L69" i="1"/>
  <c r="M69" i="1" s="1"/>
  <c r="P69" i="1" s="1"/>
  <c r="L116" i="1"/>
  <c r="M116" i="1" s="1"/>
  <c r="P116" i="1" s="1"/>
  <c r="L114" i="1"/>
  <c r="M114" i="1" s="1"/>
  <c r="P114" i="1" s="1"/>
  <c r="L305" i="1"/>
  <c r="M305" i="1" s="1"/>
  <c r="P305" i="1" s="1"/>
  <c r="L187" i="1"/>
  <c r="M187" i="1" s="1"/>
  <c r="P187" i="1" s="1"/>
  <c r="L125" i="1"/>
  <c r="M125" i="1" s="1"/>
  <c r="P125" i="1" s="1"/>
  <c r="L207" i="1"/>
  <c r="M207" i="1" s="1"/>
  <c r="P207" i="1" s="1"/>
  <c r="L309" i="1"/>
  <c r="M309" i="1" s="1"/>
  <c r="P309" i="1" s="1"/>
  <c r="L282" i="1"/>
  <c r="M282" i="1" s="1"/>
  <c r="P282" i="1" s="1"/>
  <c r="L274" i="1"/>
  <c r="M274" i="1" s="1"/>
  <c r="P274" i="1" s="1"/>
  <c r="L178" i="1"/>
  <c r="M178" i="1" s="1"/>
  <c r="P178" i="1" s="1"/>
  <c r="L324" i="1"/>
  <c r="M324" i="1" s="1"/>
  <c r="P324" i="1" s="1"/>
  <c r="L21" i="1"/>
  <c r="M21" i="1" s="1"/>
  <c r="P21" i="1" s="1"/>
  <c r="L319" i="1"/>
  <c r="M319" i="1" s="1"/>
  <c r="P319" i="1" s="1"/>
  <c r="L148" i="1"/>
  <c r="M148" i="1" s="1"/>
  <c r="P148" i="1" s="1"/>
  <c r="L233" i="1"/>
  <c r="M233" i="1" s="1"/>
  <c r="P233" i="1" s="1"/>
  <c r="L370" i="1"/>
  <c r="M370" i="1" s="1"/>
  <c r="P370" i="1" s="1"/>
  <c r="L154" i="1"/>
  <c r="M154" i="1" s="1"/>
  <c r="P154" i="1" s="1"/>
  <c r="L43" i="1"/>
  <c r="M43" i="1" s="1"/>
  <c r="P43" i="1" s="1"/>
  <c r="L212" i="1"/>
  <c r="M212" i="1" s="1"/>
  <c r="P212" i="1" s="1"/>
  <c r="L137" i="1"/>
  <c r="M137" i="1" s="1"/>
  <c r="P137" i="1" s="1"/>
  <c r="L331" i="1"/>
  <c r="M331" i="1" s="1"/>
  <c r="P331" i="1" s="1"/>
  <c r="L63" i="1"/>
  <c r="M63" i="1" s="1"/>
  <c r="P63" i="1" s="1"/>
  <c r="L377" i="1"/>
  <c r="M377" i="1" s="1"/>
  <c r="P377" i="1" s="1"/>
  <c r="L108" i="1"/>
  <c r="M108" i="1" s="1"/>
  <c r="P108" i="1" s="1"/>
  <c r="L216" i="1"/>
  <c r="M216" i="1" s="1"/>
  <c r="P216" i="1" s="1"/>
  <c r="L344" i="1"/>
  <c r="M344" i="1" s="1"/>
  <c r="P344" i="1" s="1"/>
  <c r="L310" i="1"/>
  <c r="M310" i="1" s="1"/>
  <c r="P310" i="1" s="1"/>
  <c r="L337" i="1"/>
  <c r="M337" i="1" s="1"/>
  <c r="P337" i="1" s="1"/>
  <c r="L145" i="1"/>
  <c r="M145" i="1" s="1"/>
  <c r="P145" i="1" s="1"/>
  <c r="L329" i="1"/>
  <c r="M329" i="1" s="1"/>
  <c r="P329" i="1" s="1"/>
  <c r="L65" i="1"/>
  <c r="M65" i="1" s="1"/>
  <c r="P65" i="1" s="1"/>
  <c r="L62" i="1"/>
  <c r="M62" i="1" s="1"/>
  <c r="P62" i="1" s="1"/>
  <c r="L246" i="1"/>
  <c r="M246" i="1" s="1"/>
  <c r="P246" i="1" s="1"/>
  <c r="L203" i="1"/>
  <c r="M203" i="1" s="1"/>
  <c r="P203" i="1" s="1"/>
  <c r="L231" i="1"/>
  <c r="M231" i="1" s="1"/>
  <c r="P231" i="1" s="1"/>
  <c r="L10" i="1"/>
  <c r="M10" i="1" s="1"/>
  <c r="P10" i="1" s="1"/>
  <c r="L369" i="1"/>
  <c r="M369" i="1" s="1"/>
  <c r="P369" i="1" s="1"/>
  <c r="L219" i="1"/>
  <c r="M219" i="1" s="1"/>
  <c r="P219" i="1" s="1"/>
  <c r="L213" i="1"/>
  <c r="M213" i="1" s="1"/>
  <c r="P213" i="1" s="1"/>
  <c r="L211" i="1"/>
  <c r="M211" i="1" s="1"/>
  <c r="P211" i="1" s="1"/>
  <c r="L328" i="1"/>
  <c r="M328" i="1" s="1"/>
  <c r="P328" i="1" s="1"/>
  <c r="L32" i="1"/>
  <c r="M32" i="1" s="1"/>
  <c r="P32" i="1" s="1"/>
  <c r="L123" i="1"/>
  <c r="M123" i="1" s="1"/>
  <c r="P123" i="1" s="1"/>
  <c r="L98" i="1"/>
  <c r="M98" i="1" s="1"/>
  <c r="P98" i="1" s="1"/>
  <c r="L54" i="1"/>
  <c r="M54" i="1" s="1"/>
  <c r="P54" i="1" s="1"/>
  <c r="L209" i="1"/>
  <c r="M209" i="1" s="1"/>
  <c r="P209" i="1" s="1"/>
  <c r="L129" i="1"/>
  <c r="M129" i="1" s="1"/>
  <c r="P129" i="1" s="1"/>
  <c r="L18" i="1"/>
  <c r="M18" i="1" s="1"/>
  <c r="P18" i="1" s="1"/>
  <c r="L22" i="1"/>
  <c r="M22" i="1" s="1"/>
  <c r="P22" i="1" s="1"/>
  <c r="L185" i="1"/>
  <c r="M185" i="1" s="1"/>
  <c r="P185" i="1" s="1"/>
  <c r="L340" i="1"/>
  <c r="M340" i="1" s="1"/>
  <c r="P340" i="1" s="1"/>
  <c r="L267" i="1"/>
  <c r="M267" i="1" s="1"/>
  <c r="P267" i="1" s="1"/>
  <c r="L263" i="1"/>
  <c r="M263" i="1" s="1"/>
  <c r="P263" i="1" s="1"/>
  <c r="L229" i="1"/>
  <c r="M229" i="1" s="1"/>
  <c r="P229" i="1" s="1"/>
  <c r="L295" i="1"/>
  <c r="M295" i="1" s="1"/>
  <c r="P295" i="1" s="1"/>
  <c r="L292" i="1"/>
  <c r="M292" i="1" s="1"/>
  <c r="P292" i="1" s="1"/>
  <c r="L25" i="1"/>
  <c r="M25" i="1" s="1"/>
  <c r="P25" i="1" s="1"/>
  <c r="L112" i="1"/>
  <c r="M112" i="1" s="1"/>
  <c r="P112" i="1" s="1"/>
  <c r="L335" i="1"/>
  <c r="M335" i="1" s="1"/>
  <c r="P335" i="1" s="1"/>
  <c r="L3" i="1"/>
  <c r="M3" i="1" s="1"/>
  <c r="P3" i="1" s="1"/>
  <c r="L26" i="1"/>
  <c r="M26" i="1" s="1"/>
  <c r="P26" i="1" s="1"/>
  <c r="L224" i="1"/>
  <c r="M224" i="1" s="1"/>
  <c r="P224" i="1" s="1"/>
  <c r="L179" i="1"/>
  <c r="M179" i="1" s="1"/>
  <c r="P179" i="1" s="1"/>
  <c r="L271" i="1"/>
  <c r="M271" i="1" s="1"/>
  <c r="P271" i="1" s="1"/>
  <c r="L243" i="1"/>
  <c r="M243" i="1" s="1"/>
  <c r="P243" i="1" s="1"/>
  <c r="L256" i="1"/>
  <c r="M256" i="1" s="1"/>
  <c r="P256" i="1" s="1"/>
  <c r="L338" i="1"/>
  <c r="M338" i="1" s="1"/>
  <c r="P338" i="1" s="1"/>
  <c r="L12" i="1"/>
  <c r="M12" i="1" s="1"/>
  <c r="P12" i="1" s="1"/>
  <c r="L152" i="1"/>
  <c r="M152" i="1" s="1"/>
  <c r="P152" i="1" s="1"/>
  <c r="L234" i="1"/>
  <c r="M234" i="1" s="1"/>
  <c r="P234" i="1" s="1"/>
  <c r="L2" i="1"/>
  <c r="M2" i="1" s="1"/>
  <c r="P2" i="1" s="1"/>
  <c r="L351" i="1"/>
  <c r="M351" i="1" s="1"/>
  <c r="P351" i="1" s="1"/>
  <c r="L288" i="1"/>
  <c r="M288" i="1" s="1"/>
  <c r="P288" i="1" s="1"/>
  <c r="L76" i="1"/>
  <c r="M76" i="1" s="1"/>
  <c r="P76" i="1" s="1"/>
  <c r="L249" i="1"/>
  <c r="M249" i="1" s="1"/>
  <c r="P249" i="1" s="1"/>
  <c r="L240" i="1"/>
  <c r="M240" i="1" s="1"/>
  <c r="P240" i="1" s="1"/>
  <c r="L201" i="1"/>
  <c r="M201" i="1" s="1"/>
  <c r="P201" i="1" s="1"/>
  <c r="L83" i="1"/>
  <c r="M83" i="1" s="1"/>
  <c r="P83" i="1" s="1"/>
  <c r="L146" i="1"/>
  <c r="M146" i="1" s="1"/>
  <c r="P146" i="1" s="1"/>
  <c r="L117" i="1"/>
  <c r="M117" i="1" s="1"/>
  <c r="P117" i="1" s="1"/>
  <c r="L79" i="1"/>
  <c r="M79" i="1" s="1"/>
  <c r="P79" i="1" s="1"/>
  <c r="L361" i="1"/>
  <c r="M361" i="1" s="1"/>
  <c r="P361" i="1" s="1"/>
  <c r="L183" i="1"/>
  <c r="M183" i="1" s="1"/>
  <c r="P183" i="1" s="1"/>
  <c r="L376" i="1"/>
  <c r="M376" i="1" s="1"/>
  <c r="P376" i="1" s="1"/>
  <c r="L111" i="1"/>
  <c r="M111" i="1" s="1"/>
  <c r="P111" i="1" s="1"/>
  <c r="L120" i="1"/>
  <c r="M120" i="1" s="1"/>
  <c r="P120" i="1" s="1"/>
  <c r="L193" i="1"/>
  <c r="M193" i="1" s="1"/>
  <c r="P193" i="1" s="1"/>
  <c r="L357" i="1"/>
  <c r="M357" i="1" s="1"/>
  <c r="P357" i="1" s="1"/>
  <c r="L273" i="1"/>
  <c r="M273" i="1" s="1"/>
  <c r="P273" i="1" s="1"/>
  <c r="L133" i="1"/>
  <c r="M133" i="1" s="1"/>
  <c r="P133" i="1" s="1"/>
  <c r="L366" i="1"/>
  <c r="M366" i="1" s="1"/>
  <c r="P366" i="1" s="1"/>
  <c r="L362" i="1"/>
  <c r="M362" i="1" s="1"/>
  <c r="P362" i="1" s="1"/>
  <c r="L94" i="1"/>
  <c r="M94" i="1" s="1"/>
  <c r="P94" i="1" s="1"/>
  <c r="L312" i="1"/>
  <c r="M312" i="1" s="1"/>
  <c r="P312" i="1" s="1"/>
  <c r="L379" i="1"/>
  <c r="M379" i="1" s="1"/>
  <c r="P379" i="1" s="1"/>
  <c r="L268" i="1"/>
  <c r="M268" i="1" s="1"/>
  <c r="P268" i="1" s="1"/>
  <c r="L278" i="1"/>
  <c r="M278" i="1" s="1"/>
  <c r="P278" i="1" s="1"/>
  <c r="L56" i="1"/>
  <c r="M56" i="1" s="1"/>
  <c r="P56" i="1" s="1"/>
  <c r="L14" i="1"/>
  <c r="M14" i="1" s="1"/>
  <c r="P14" i="1" s="1"/>
  <c r="L9" i="1"/>
  <c r="M9" i="1" s="1"/>
  <c r="P9" i="1" s="1"/>
  <c r="L49" i="1"/>
  <c r="M49" i="1" s="1"/>
  <c r="P49" i="1" s="1"/>
  <c r="L180" i="1"/>
  <c r="M180" i="1" s="1"/>
  <c r="P180" i="1" s="1"/>
  <c r="L356" i="1"/>
  <c r="M356" i="1" s="1"/>
  <c r="P356" i="1" s="1"/>
  <c r="L289" i="1"/>
  <c r="M289" i="1" s="1"/>
  <c r="P289" i="1" s="1"/>
  <c r="L365" i="1"/>
  <c r="M365" i="1" s="1"/>
  <c r="P365" i="1" s="1"/>
  <c r="L38" i="1"/>
  <c r="M38" i="1" s="1"/>
  <c r="P38" i="1" s="1"/>
  <c r="L33" i="1"/>
  <c r="M33" i="1" s="1"/>
  <c r="P33" i="1" s="1"/>
  <c r="L284" i="1"/>
  <c r="M284" i="1" s="1"/>
  <c r="P284" i="1" s="1"/>
  <c r="L222" i="1"/>
  <c r="M222" i="1" s="1"/>
  <c r="P222" i="1" s="1"/>
  <c r="L8" i="1"/>
  <c r="M8" i="1" s="1"/>
  <c r="P8" i="1" s="1"/>
  <c r="L318" i="1"/>
  <c r="M318" i="1" s="1"/>
  <c r="P318" i="1" s="1"/>
  <c r="L52" i="1"/>
  <c r="M52" i="1" s="1"/>
  <c r="P52" i="1" s="1"/>
  <c r="L223" i="1"/>
  <c r="M223" i="1" s="1"/>
  <c r="P223" i="1" s="1"/>
  <c r="L186" i="1"/>
  <c r="M186" i="1" s="1"/>
  <c r="P186" i="1" s="1"/>
  <c r="L358" i="1"/>
  <c r="M358" i="1" s="1"/>
  <c r="P358" i="1" s="1"/>
  <c r="L302" i="1"/>
  <c r="M302" i="1" s="1"/>
  <c r="P302" i="1" s="1"/>
  <c r="L311" i="1"/>
  <c r="M311" i="1" s="1"/>
  <c r="P311" i="1" s="1"/>
  <c r="L221" i="1"/>
  <c r="M221" i="1" s="1"/>
  <c r="P221" i="1" s="1"/>
  <c r="L102" i="1"/>
  <c r="M102" i="1" s="1"/>
  <c r="P102" i="1" s="1"/>
  <c r="L153" i="1"/>
  <c r="M153" i="1" s="1"/>
  <c r="P153" i="1" s="1"/>
  <c r="L281" i="1"/>
  <c r="M281" i="1" s="1"/>
  <c r="P281" i="1" s="1"/>
  <c r="L107" i="1"/>
  <c r="M107" i="1" s="1"/>
  <c r="P107" i="1" s="1"/>
  <c r="L332" i="1"/>
  <c r="M332" i="1" s="1"/>
  <c r="P332" i="1" s="1"/>
  <c r="L210" i="1"/>
  <c r="M210" i="1" s="1"/>
  <c r="P210" i="1" s="1"/>
  <c r="L104" i="1"/>
  <c r="M104" i="1" s="1"/>
  <c r="P104" i="1" s="1"/>
  <c r="L304" i="1"/>
  <c r="M304" i="1" s="1"/>
  <c r="P304" i="1" s="1"/>
  <c r="L51" i="1"/>
  <c r="M51" i="1" s="1"/>
  <c r="P51" i="1" s="1"/>
  <c r="L192" i="1"/>
  <c r="M192" i="1" s="1"/>
  <c r="P192" i="1" s="1"/>
  <c r="L6" i="1"/>
  <c r="M6" i="1" s="1"/>
  <c r="P6" i="1" s="1"/>
  <c r="L53" i="1"/>
  <c r="M53" i="1" s="1"/>
  <c r="P53" i="1" s="1"/>
  <c r="L237" i="1"/>
  <c r="M237" i="1" s="1"/>
  <c r="P237" i="1" s="1"/>
  <c r="L298" i="1"/>
  <c r="M298" i="1" s="1"/>
  <c r="P298" i="1" s="1"/>
  <c r="L97" i="1"/>
  <c r="M97" i="1" s="1"/>
  <c r="P97" i="1" s="1"/>
  <c r="L326" i="1"/>
  <c r="M326" i="1" s="1"/>
  <c r="P326" i="1" s="1"/>
  <c r="L285" i="1"/>
  <c r="M285" i="1" s="1"/>
  <c r="P285" i="1" s="1"/>
  <c r="L77" i="1"/>
  <c r="M77" i="1" s="1"/>
  <c r="P77" i="1" s="1"/>
  <c r="L200" i="1"/>
  <c r="M200" i="1" s="1"/>
  <c r="P200" i="1" s="1"/>
  <c r="L36" i="1"/>
  <c r="M36" i="1" s="1"/>
  <c r="P36" i="1" s="1"/>
  <c r="L4" i="1"/>
  <c r="M4" i="1" s="1"/>
  <c r="P4" i="1" s="1"/>
  <c r="L177" i="1"/>
  <c r="M177" i="1" s="1"/>
  <c r="P177" i="1" s="1"/>
  <c r="L261" i="1"/>
  <c r="M261" i="1" s="1"/>
  <c r="P261" i="1" s="1"/>
  <c r="L47" i="1"/>
  <c r="M47" i="1" s="1"/>
  <c r="P47" i="1" s="1"/>
  <c r="L348" i="1"/>
  <c r="M348" i="1" s="1"/>
  <c r="P348" i="1" s="1"/>
  <c r="L320" i="1"/>
  <c r="M320" i="1" s="1"/>
  <c r="P320" i="1" s="1"/>
  <c r="L373" i="1"/>
  <c r="M373" i="1" s="1"/>
  <c r="P373" i="1" s="1"/>
  <c r="L198" i="1"/>
  <c r="M198" i="1" s="1"/>
  <c r="P198" i="1" s="1"/>
  <c r="L101" i="1"/>
  <c r="M101" i="1" s="1"/>
  <c r="P101" i="1" s="1"/>
  <c r="L81" i="1"/>
  <c r="M81" i="1" s="1"/>
  <c r="P81" i="1" s="1"/>
  <c r="L226" i="1"/>
  <c r="M226" i="1" s="1"/>
  <c r="P226" i="1" s="1"/>
  <c r="L46" i="1"/>
  <c r="M46" i="1" s="1"/>
  <c r="P46" i="1" s="1"/>
  <c r="L72" i="1"/>
  <c r="M72" i="1" s="1"/>
  <c r="P72" i="1" s="1"/>
  <c r="L248" i="1"/>
  <c r="M248" i="1" s="1"/>
  <c r="P248" i="1" s="1"/>
  <c r="L270" i="1"/>
  <c r="M270" i="1" s="1"/>
  <c r="P270" i="1" s="1"/>
  <c r="L239" i="1"/>
  <c r="M239" i="1" s="1"/>
  <c r="P239" i="1" s="1"/>
  <c r="L127" i="1"/>
  <c r="M127" i="1" s="1"/>
  <c r="P127" i="1" s="1"/>
  <c r="L283" i="1"/>
  <c r="M283" i="1" s="1"/>
  <c r="P283" i="1" s="1"/>
  <c r="L85" i="1"/>
  <c r="M85" i="1" s="1"/>
  <c r="P85" i="1" s="1"/>
  <c r="L308" i="1"/>
  <c r="M308" i="1" s="1"/>
  <c r="P308" i="1" s="1"/>
  <c r="L157" i="1"/>
  <c r="M157" i="1" s="1"/>
  <c r="P157" i="1" s="1"/>
  <c r="L82" i="1"/>
  <c r="M82" i="1" s="1"/>
  <c r="P82" i="1" s="1"/>
  <c r="L88" i="1"/>
  <c r="M88" i="1" s="1"/>
  <c r="P88" i="1" s="1"/>
  <c r="L161" i="1"/>
  <c r="M161" i="1" s="1"/>
  <c r="P161" i="1" s="1"/>
  <c r="L300" i="1"/>
  <c r="M300" i="1" s="1"/>
  <c r="P300" i="1" s="1"/>
  <c r="L214" i="1"/>
  <c r="M214" i="1" s="1"/>
  <c r="P214" i="1" s="1"/>
  <c r="L151" i="1"/>
  <c r="M151" i="1" s="1"/>
  <c r="P151" i="1" s="1"/>
  <c r="L45" i="1"/>
  <c r="M45" i="1" s="1"/>
  <c r="P45" i="1" s="1"/>
  <c r="L317" i="1"/>
  <c r="M317" i="1" s="1"/>
  <c r="P317" i="1" s="1"/>
  <c r="L7" i="1"/>
  <c r="M7" i="1" s="1"/>
  <c r="P7" i="1" s="1"/>
  <c r="L67" i="1"/>
  <c r="M67" i="1" s="1"/>
  <c r="P67" i="1" s="1"/>
  <c r="L44" i="1"/>
  <c r="M44" i="1" s="1"/>
  <c r="P44" i="1" s="1"/>
  <c r="L122" i="1"/>
  <c r="M122" i="1" s="1"/>
  <c r="P122" i="1" s="1"/>
  <c r="L350" i="1"/>
  <c r="M350" i="1" s="1"/>
  <c r="P350" i="1" s="1"/>
  <c r="L144" i="1"/>
  <c r="M144" i="1" s="1"/>
  <c r="P144" i="1" s="1"/>
  <c r="L171" i="1"/>
  <c r="M171" i="1" s="1"/>
  <c r="P171" i="1" s="1"/>
  <c r="L359" i="1"/>
  <c r="M359" i="1" s="1"/>
  <c r="P359" i="1" s="1"/>
  <c r="L236" i="1"/>
  <c r="M236" i="1" s="1"/>
  <c r="P236" i="1" s="1"/>
  <c r="L30" i="1"/>
  <c r="M30" i="1" s="1"/>
  <c r="P30" i="1" s="1"/>
  <c r="L42" i="1"/>
  <c r="M42" i="1" s="1"/>
  <c r="P42" i="1" s="1"/>
  <c r="L48" i="1"/>
  <c r="M48" i="1" s="1"/>
  <c r="P48" i="1" s="1"/>
  <c r="L204" i="1"/>
  <c r="M204" i="1" s="1"/>
  <c r="P204" i="1" s="1"/>
  <c r="L150" i="1"/>
  <c r="M150" i="1" s="1"/>
  <c r="P150" i="1" s="1"/>
  <c r="L160" i="1"/>
  <c r="M160" i="1" s="1"/>
  <c r="P160" i="1" s="1"/>
  <c r="L313" i="1"/>
  <c r="M313" i="1" s="1"/>
  <c r="P313" i="1" s="1"/>
  <c r="L275" i="1"/>
  <c r="M275" i="1" s="1"/>
  <c r="P275" i="1" s="1"/>
  <c r="L378" i="1"/>
  <c r="M378" i="1" s="1"/>
  <c r="P378" i="1" s="1"/>
  <c r="L166" i="1"/>
  <c r="M166" i="1" s="1"/>
  <c r="P166" i="1" s="1"/>
  <c r="L262" i="1"/>
  <c r="M262" i="1" s="1"/>
  <c r="P262" i="1" s="1"/>
  <c r="L172" i="1"/>
  <c r="M172" i="1" s="1"/>
  <c r="P172" i="1" s="1"/>
  <c r="L141" i="1"/>
  <c r="M141" i="1" s="1"/>
  <c r="P141" i="1" s="1"/>
  <c r="L109" i="1"/>
  <c r="M109" i="1" s="1"/>
  <c r="P109" i="1" s="1"/>
  <c r="L20" i="1"/>
  <c r="M20" i="1" s="1"/>
  <c r="P20" i="1" s="1"/>
  <c r="L316" i="1"/>
  <c r="M316" i="1" s="1"/>
  <c r="P316" i="1" s="1"/>
  <c r="L119" i="1"/>
  <c r="M119" i="1" s="1"/>
  <c r="P119" i="1" s="1"/>
  <c r="L336" i="1"/>
  <c r="M336" i="1" s="1"/>
  <c r="P336" i="1" s="1"/>
  <c r="L68" i="1"/>
  <c r="M68" i="1" s="1"/>
  <c r="P68" i="1" s="1"/>
  <c r="L360" i="1"/>
  <c r="M360" i="1" s="1"/>
  <c r="P360" i="1" s="1"/>
  <c r="L315" i="1"/>
  <c r="M315" i="1" s="1"/>
  <c r="P315" i="1" s="1"/>
  <c r="L118" i="1"/>
  <c r="M118" i="1" s="1"/>
  <c r="L253" i="1"/>
  <c r="M253" i="1" s="1"/>
  <c r="P253" i="1" s="1"/>
  <c r="L136" i="1"/>
  <c r="M136" i="1" s="1"/>
  <c r="P136" i="1" s="1"/>
  <c r="L208" i="1"/>
  <c r="M208" i="1" s="1"/>
  <c r="P208" i="1" s="1"/>
  <c r="L190" i="1"/>
  <c r="M190" i="1" s="1"/>
  <c r="P190" i="1" s="1"/>
  <c r="L296" i="1"/>
  <c r="M296" i="1" s="1"/>
  <c r="P296" i="1" s="1"/>
  <c r="L176" i="1"/>
  <c r="M176" i="1" s="1"/>
  <c r="P176" i="1" s="1"/>
  <c r="L290" i="1"/>
  <c r="M290" i="1" s="1"/>
  <c r="P290" i="1" s="1"/>
  <c r="L84" i="1"/>
  <c r="M84" i="1" s="1"/>
  <c r="P84" i="1" s="1"/>
  <c r="L303" i="1"/>
  <c r="M303" i="1" s="1"/>
  <c r="P303" i="1" s="1"/>
  <c r="L349" i="1"/>
  <c r="M349" i="1" s="1"/>
  <c r="P349" i="1" s="1"/>
  <c r="L126" i="1"/>
  <c r="M126" i="1" s="1"/>
  <c r="P126" i="1" s="1"/>
  <c r="L167" i="1"/>
  <c r="M167" i="1" s="1"/>
  <c r="P167" i="1" s="1"/>
  <c r="L106" i="1"/>
  <c r="M106" i="1" s="1"/>
  <c r="P106" i="1" s="1"/>
  <c r="L90" i="1"/>
  <c r="M90" i="1" s="1"/>
  <c r="P90" i="1" s="1"/>
  <c r="L60" i="1"/>
  <c r="M60" i="1" s="1"/>
  <c r="P60" i="1" s="1"/>
  <c r="L17" i="1"/>
  <c r="M17" i="1" s="1"/>
  <c r="P17" i="1" s="1"/>
  <c r="L196" i="1"/>
  <c r="M196" i="1" s="1"/>
  <c r="P196" i="1" s="1"/>
  <c r="L321" i="1"/>
  <c r="M321" i="1" s="1"/>
  <c r="P321" i="1" s="1"/>
  <c r="L16" i="1"/>
  <c r="M16" i="1" s="1"/>
  <c r="P16" i="1" s="1"/>
  <c r="L87" i="1"/>
  <c r="M87" i="1" s="1"/>
  <c r="P87" i="1" s="1"/>
  <c r="L5" i="1"/>
  <c r="M5" i="1" s="1"/>
  <c r="P5" i="1" s="1"/>
  <c r="L197" i="1"/>
  <c r="M197" i="1" s="1"/>
  <c r="P197" i="1" s="1"/>
  <c r="L11" i="1"/>
  <c r="M11" i="1" s="1"/>
  <c r="L352" i="1"/>
  <c r="M352" i="1" s="1"/>
  <c r="P352" i="1" s="1"/>
  <c r="L220" i="1"/>
  <c r="M220" i="1" s="1"/>
  <c r="P220" i="1" s="1"/>
  <c r="L276" i="1"/>
  <c r="M276" i="1" s="1"/>
  <c r="P276" i="1" s="1"/>
  <c r="L293" i="1"/>
  <c r="M293" i="1" s="1"/>
  <c r="P293" i="1" s="1"/>
  <c r="L175" i="1"/>
  <c r="M175" i="1" s="1"/>
  <c r="P175" i="1" s="1"/>
  <c r="L41" i="1"/>
  <c r="M41" i="1" s="1"/>
  <c r="P41" i="1" s="1"/>
  <c r="L238" i="1"/>
  <c r="M238" i="1" s="1"/>
  <c r="L23" i="1"/>
  <c r="M23" i="1" s="1"/>
  <c r="P23" i="1" s="1"/>
  <c r="L314" i="1"/>
  <c r="M314" i="1" s="1"/>
  <c r="P314" i="1" s="1"/>
  <c r="L250" i="1"/>
  <c r="M250" i="1" s="1"/>
  <c r="P250" i="1" s="1"/>
  <c r="L367" i="1"/>
  <c r="M367" i="1" s="1"/>
  <c r="L280" i="1"/>
  <c r="M280" i="1" s="1"/>
  <c r="P280" i="1" s="1"/>
  <c r="L291" i="1"/>
  <c r="M291" i="1" s="1"/>
  <c r="P291" i="1" s="1"/>
  <c r="L380" i="1"/>
  <c r="M380" i="1" s="1"/>
  <c r="P380" i="1" s="1"/>
  <c r="L31" i="1"/>
  <c r="M31" i="1" s="1"/>
  <c r="L254" i="1"/>
  <c r="M254" i="1" s="1"/>
  <c r="P254" i="1" s="1"/>
  <c r="L199" i="1"/>
  <c r="M199" i="1" s="1"/>
  <c r="L354" i="1"/>
  <c r="M354" i="1" s="1"/>
  <c r="P354" i="1" s="1"/>
  <c r="L279" i="1"/>
  <c r="M279" i="1" s="1"/>
  <c r="P279" i="1" s="1"/>
  <c r="L34" i="1"/>
  <c r="M34" i="1" s="1"/>
  <c r="P34" i="1" s="1"/>
  <c r="L115" i="1"/>
  <c r="M115" i="1" s="1"/>
  <c r="P115" i="1" s="1"/>
  <c r="L155" i="1"/>
  <c r="M155" i="1" s="1"/>
  <c r="P155" i="1" s="1"/>
  <c r="L40" i="1"/>
  <c r="M40" i="1" s="1"/>
  <c r="L71" i="1"/>
  <c r="M71" i="1" s="1"/>
  <c r="P71" i="1" s="1"/>
  <c r="L70" i="1"/>
  <c r="M70" i="1" s="1"/>
  <c r="P70" i="1" s="1"/>
  <c r="L333" i="1"/>
  <c r="M333" i="1" s="1"/>
  <c r="L334" i="1"/>
  <c r="M334" i="1" s="1"/>
  <c r="P334" i="1" s="1"/>
  <c r="L191" i="1"/>
  <c r="M191" i="1" s="1"/>
  <c r="P191" i="1" s="1"/>
  <c r="L189" i="1"/>
  <c r="M189" i="1" s="1"/>
  <c r="P189" i="1" s="1"/>
  <c r="L149" i="1"/>
  <c r="M149" i="1" s="1"/>
  <c r="L343" i="1"/>
  <c r="M343" i="1" s="1"/>
  <c r="P343" i="1" s="1"/>
  <c r="L143" i="1"/>
  <c r="M143" i="1" s="1"/>
  <c r="P143" i="1" s="1"/>
  <c r="L235" i="1"/>
  <c r="M235" i="1" s="1"/>
  <c r="P235" i="1" s="1"/>
  <c r="L58" i="1"/>
  <c r="M58" i="1" s="1"/>
  <c r="P58" i="1" s="1"/>
  <c r="L57" i="1"/>
  <c r="M57" i="1" s="1"/>
  <c r="P57" i="1" s="1"/>
  <c r="L345" i="1"/>
  <c r="M345" i="1" s="1"/>
  <c r="P345" i="1" s="1"/>
  <c r="L294" i="1"/>
  <c r="M294" i="1" s="1"/>
  <c r="P294" i="1" s="1"/>
  <c r="L215" i="1"/>
  <c r="M215" i="1" s="1"/>
  <c r="L375" i="1"/>
  <c r="M375" i="1" s="1"/>
  <c r="P375" i="1" s="1"/>
  <c r="L258" i="1"/>
  <c r="M258" i="1" s="1"/>
  <c r="P258" i="1" s="1"/>
  <c r="L330" i="1"/>
  <c r="M330" i="1" s="1"/>
  <c r="P330" i="1" s="1"/>
  <c r="L232" i="1"/>
  <c r="M232" i="1" s="1"/>
  <c r="P232" i="1" s="1"/>
  <c r="L371" i="1"/>
  <c r="M371" i="1" s="1"/>
  <c r="P371" i="1" s="1"/>
  <c r="L93" i="1"/>
  <c r="M93" i="1" s="1"/>
  <c r="P93" i="1" s="1"/>
  <c r="L132" i="1"/>
  <c r="M132" i="1" s="1"/>
  <c r="P132" i="1" s="1"/>
  <c r="L265" i="1"/>
  <c r="M265" i="1" s="1"/>
  <c r="P265" i="1" s="1"/>
  <c r="L299" i="1"/>
  <c r="M299" i="1" s="1"/>
  <c r="P299" i="1" s="1"/>
  <c r="L75" i="1"/>
  <c r="M75" i="1" s="1"/>
  <c r="P75" i="1" s="1"/>
  <c r="L174" i="1"/>
  <c r="M174" i="1" s="1"/>
  <c r="P174" i="1" s="1"/>
  <c r="L19" i="1"/>
  <c r="M19" i="1" s="1"/>
  <c r="P19" i="1" s="1"/>
  <c r="L13" i="1"/>
  <c r="M13" i="1" s="1"/>
  <c r="P13" i="1" s="1"/>
  <c r="L363" i="1"/>
  <c r="M363" i="1" s="1"/>
  <c r="P363" i="1" s="1"/>
  <c r="L164" i="1"/>
  <c r="M164" i="1" s="1"/>
  <c r="P164" i="1" s="1"/>
  <c r="L74" i="1"/>
  <c r="M74" i="1" s="1"/>
  <c r="P74" i="1" s="1"/>
  <c r="L306" i="1"/>
  <c r="M306" i="1" s="1"/>
  <c r="P306" i="1" s="1"/>
  <c r="L245" i="1"/>
  <c r="M245" i="1" s="1"/>
  <c r="P245" i="1" s="1"/>
  <c r="L202" i="1"/>
  <c r="M202" i="1" s="1"/>
  <c r="P202" i="1" s="1"/>
  <c r="L162" i="1"/>
  <c r="M162" i="1" s="1"/>
  <c r="P162" i="1" s="1"/>
  <c r="L92" i="1"/>
  <c r="M92" i="1" s="1"/>
  <c r="P92" i="1" s="1"/>
  <c r="L194" i="1"/>
  <c r="M194" i="1" s="1"/>
  <c r="P194" i="1" s="1"/>
  <c r="L364" i="1"/>
  <c r="M364" i="1" s="1"/>
  <c r="P364" i="1" s="1"/>
  <c r="L100" i="1"/>
  <c r="M100" i="1" s="1"/>
  <c r="P100" i="1" s="1"/>
  <c r="L217" i="1"/>
  <c r="M217" i="1" s="1"/>
  <c r="P217" i="1" s="1"/>
  <c r="L173" i="1"/>
  <c r="M173" i="1" s="1"/>
  <c r="P173" i="1" s="1"/>
  <c r="L323" i="1"/>
  <c r="M323" i="1" s="1"/>
  <c r="P323" i="1" s="1"/>
  <c r="L227" i="1"/>
  <c r="M227" i="1" s="1"/>
  <c r="P227" i="1" s="1"/>
  <c r="L61" i="1"/>
  <c r="M61" i="1" s="1"/>
  <c r="P61" i="1" s="1"/>
  <c r="L251" i="1"/>
  <c r="M251" i="1" s="1"/>
  <c r="P251" i="1" s="1"/>
  <c r="L372" i="1"/>
  <c r="M372" i="1" s="1"/>
  <c r="P372" i="1" s="1"/>
  <c r="L252" i="1"/>
  <c r="M252" i="1" s="1"/>
  <c r="P252" i="1" s="1"/>
  <c r="L156" i="1"/>
  <c r="M156" i="1" s="1"/>
  <c r="P156" i="1" s="1"/>
  <c r="L241" i="1"/>
  <c r="M241" i="1" s="1"/>
  <c r="P241" i="1" s="1"/>
  <c r="L134" i="1"/>
  <c r="M134" i="1" s="1"/>
  <c r="P134" i="1" s="1"/>
  <c r="L277" i="1"/>
  <c r="M277" i="1" s="1"/>
  <c r="P277" i="1" s="1"/>
  <c r="L130" i="1"/>
  <c r="M130" i="1" s="1"/>
  <c r="P130" i="1" s="1"/>
  <c r="L195" i="1"/>
  <c r="M195" i="1" s="1"/>
  <c r="P195" i="1" s="1"/>
  <c r="L286" i="1"/>
  <c r="M286" i="1" s="1"/>
  <c r="P286" i="1" s="1"/>
  <c r="L96" i="1"/>
  <c r="M96" i="1" s="1"/>
  <c r="P96" i="1" s="1"/>
  <c r="L128" i="1"/>
  <c r="M128" i="1" s="1"/>
  <c r="P128" i="1" s="1"/>
  <c r="L353" i="1"/>
  <c r="M353" i="1" s="1"/>
  <c r="P353" i="1" s="1"/>
  <c r="L374" i="1"/>
  <c r="M374" i="1" s="1"/>
  <c r="P374" i="1" s="1"/>
  <c r="L27" i="1"/>
  <c r="M27" i="1" s="1"/>
  <c r="P27" i="1" s="1"/>
  <c r="L188" i="1"/>
  <c r="M188" i="1" s="1"/>
  <c r="P188" i="1" s="1"/>
  <c r="L64" i="1"/>
  <c r="M64" i="1" s="1"/>
  <c r="P64" i="1" s="1"/>
  <c r="L140" i="1"/>
  <c r="M140" i="1" s="1"/>
  <c r="P140" i="1" s="1"/>
  <c r="L50" i="1"/>
  <c r="M50" i="1" s="1"/>
  <c r="P50" i="1" s="1"/>
  <c r="L169" i="1"/>
  <c r="M169" i="1" s="1"/>
  <c r="P169" i="1" s="1"/>
  <c r="L158" i="1"/>
  <c r="M158" i="1" s="1"/>
  <c r="P158" i="1" s="1"/>
  <c r="L301" i="1"/>
  <c r="M301" i="1" s="1"/>
  <c r="P301" i="1" s="1"/>
  <c r="L205" i="1"/>
  <c r="M205" i="1" s="1"/>
  <c r="P205" i="1" s="1"/>
  <c r="L159" i="1"/>
  <c r="M159" i="1" s="1"/>
  <c r="P159" i="1" s="1"/>
  <c r="L206" i="1"/>
  <c r="M206" i="1" s="1"/>
  <c r="P206" i="1" s="1"/>
  <c r="L73" i="1"/>
  <c r="M73" i="1" s="1"/>
  <c r="P73" i="1" s="1"/>
  <c r="L15" i="1"/>
  <c r="M15" i="1" s="1"/>
  <c r="P15" i="1" s="1"/>
  <c r="L247" i="1"/>
  <c r="M247" i="1" s="1"/>
  <c r="P247" i="1" s="1"/>
  <c r="L368" i="1"/>
  <c r="M368" i="1" s="1"/>
  <c r="P368" i="1" s="1"/>
  <c r="L341" i="1"/>
  <c r="M341" i="1" s="1"/>
  <c r="P341" i="1" s="1"/>
  <c r="L184" i="1"/>
  <c r="M184" i="1" s="1"/>
  <c r="P184" i="1" s="1"/>
  <c r="L55" i="1"/>
  <c r="M55" i="1" s="1"/>
  <c r="P55" i="1" s="1"/>
  <c r="L287" i="1"/>
  <c r="M287" i="1" s="1"/>
  <c r="P287" i="1" s="1"/>
  <c r="L260" i="1"/>
  <c r="M260" i="1" s="1"/>
  <c r="P260" i="1" s="1"/>
  <c r="L346" i="1"/>
  <c r="M346" i="1" s="1"/>
  <c r="P346" i="1" s="1"/>
  <c r="L322" i="1"/>
  <c r="M322" i="1" s="1"/>
  <c r="P322" i="1" s="1"/>
  <c r="L327" i="1"/>
  <c r="M327" i="1" s="1"/>
  <c r="P327" i="1" s="1"/>
  <c r="L266" i="1"/>
  <c r="M266" i="1" s="1"/>
  <c r="P266" i="1" s="1"/>
  <c r="L59" i="1"/>
  <c r="M59" i="1" s="1"/>
  <c r="P59" i="1" s="1"/>
  <c r="L80" i="1"/>
  <c r="M80" i="1" s="1"/>
  <c r="P80" i="1" s="1"/>
  <c r="L218" i="1"/>
  <c r="M218" i="1" s="1"/>
  <c r="P218" i="1" s="1"/>
  <c r="L163" i="1"/>
  <c r="M163" i="1" s="1"/>
  <c r="P163" i="1" s="1"/>
  <c r="L272" i="1"/>
  <c r="M272" i="1" s="1"/>
  <c r="P272" i="1" s="1"/>
  <c r="L255" i="1"/>
  <c r="M255" i="1" s="1"/>
  <c r="P255" i="1" s="1"/>
  <c r="L147" i="1"/>
  <c r="M147" i="1" s="1"/>
  <c r="P147" i="1" s="1"/>
  <c r="L342" i="1"/>
  <c r="M342" i="1" s="1"/>
  <c r="P342" i="1" s="1"/>
  <c r="L170" i="1"/>
  <c r="M170" i="1" s="1"/>
  <c r="P170" i="1" s="1"/>
  <c r="L138" i="1"/>
  <c r="M138" i="1" s="1"/>
  <c r="P138" i="1" s="1"/>
  <c r="L269" i="1"/>
  <c r="M269" i="1" s="1"/>
  <c r="P269" i="1" s="1"/>
  <c r="L347" i="1"/>
  <c r="M347" i="1" s="1"/>
  <c r="P347" i="1" s="1"/>
  <c r="L24" i="1"/>
  <c r="M24" i="1" s="1"/>
  <c r="P24" i="1" s="1"/>
  <c r="L142" i="1"/>
  <c r="M142" i="1" s="1"/>
  <c r="P142" i="1" s="1"/>
  <c r="L181" i="1"/>
  <c r="M181" i="1" s="1"/>
  <c r="P181" i="1" s="1"/>
  <c r="L91" i="1"/>
  <c r="M91" i="1" s="1"/>
  <c r="P91" i="1" s="1"/>
  <c r="L37" i="1"/>
  <c r="M37" i="1" s="1"/>
  <c r="P37" i="1" s="1"/>
  <c r="L325" i="1"/>
  <c r="M325" i="1" s="1"/>
  <c r="P325" i="1" s="1"/>
  <c r="L264" i="1"/>
  <c r="M264" i="1" s="1"/>
  <c r="P264" i="1" s="1"/>
  <c r="L66" i="1"/>
  <c r="M66" i="1" s="1"/>
  <c r="P66" i="1" s="1"/>
  <c r="L259" i="1"/>
  <c r="M259" i="1" s="1"/>
  <c r="P259" i="1" s="1"/>
  <c r="L89" i="1"/>
  <c r="M89" i="1" s="1"/>
  <c r="P89" i="1" s="1"/>
  <c r="L103" i="1"/>
  <c r="M103" i="1" s="1"/>
  <c r="P103" i="1" s="1"/>
  <c r="L182" i="1"/>
  <c r="M182" i="1" s="1"/>
  <c r="P182" i="1" s="1"/>
  <c r="L230" i="1"/>
  <c r="M230" i="1" s="1"/>
  <c r="P230" i="1" s="1"/>
  <c r="L124" i="1"/>
  <c r="M124" i="1" s="1"/>
  <c r="P124" i="1" s="1"/>
  <c r="L339" i="1"/>
  <c r="M339" i="1" s="1"/>
  <c r="P339" i="1" s="1"/>
  <c r="L131" i="1"/>
  <c r="M131" i="1" s="1"/>
  <c r="P131" i="1" s="1"/>
  <c r="L28" i="1"/>
  <c r="M28" i="1" s="1"/>
  <c r="P28" i="1" s="1"/>
  <c r="L86" i="1"/>
  <c r="M86" i="1" s="1"/>
  <c r="P86" i="1" s="1"/>
  <c r="L228" i="1"/>
  <c r="M228" i="1" s="1"/>
  <c r="P228" i="1" s="1"/>
  <c r="L355" i="1"/>
  <c r="M355" i="1" s="1"/>
  <c r="P355" i="1" s="1"/>
  <c r="L257" i="1"/>
  <c r="M257" i="1" s="1"/>
  <c r="P257" i="1" s="1"/>
  <c r="L242" i="1"/>
  <c r="M242" i="1" s="1"/>
  <c r="P242" i="1" s="1"/>
  <c r="L307" i="1"/>
  <c r="M307" i="1" s="1"/>
  <c r="P307" i="1" s="1"/>
  <c r="L225" i="1"/>
  <c r="M225" i="1" s="1"/>
  <c r="P225" i="1" s="1"/>
  <c r="L29" i="1"/>
  <c r="M29" i="1" s="1"/>
  <c r="P29" i="1" s="1"/>
  <c r="L165" i="1"/>
  <c r="M165" i="1" s="1"/>
  <c r="P165" i="1" s="1"/>
  <c r="L139" i="1"/>
  <c r="M139" i="1" s="1"/>
  <c r="P139" i="1" s="1"/>
  <c r="L99" i="1"/>
  <c r="M99" i="1" s="1"/>
  <c r="P99" i="1" s="1"/>
  <c r="L297" i="1"/>
  <c r="M297" i="1" s="1"/>
  <c r="P297" i="1" s="1"/>
  <c r="L39" i="1"/>
  <c r="M39" i="1" s="1"/>
  <c r="P39" i="1" s="1"/>
  <c r="L78" i="1"/>
  <c r="M78" i="1" s="1"/>
  <c r="P78" i="1" s="1"/>
  <c r="L113" i="1"/>
  <c r="M113" i="1" s="1"/>
  <c r="P113" i="1" s="1"/>
  <c r="L135" i="1"/>
  <c r="M135" i="1" s="1"/>
  <c r="P135" i="1" s="1"/>
  <c r="L35" i="1"/>
  <c r="M35" i="1" s="1"/>
  <c r="P35" i="1" s="1"/>
  <c r="L95" i="1"/>
  <c r="M95" i="1" s="1"/>
  <c r="P95" i="1" s="1"/>
  <c r="L244" i="1"/>
  <c r="M244" i="1" s="1"/>
  <c r="P244" i="1" s="1"/>
  <c r="L110" i="1"/>
  <c r="M110" i="1" s="1"/>
  <c r="P110" i="1" s="1"/>
  <c r="I238" i="1"/>
  <c r="N238" i="1" s="1"/>
  <c r="I367" i="1"/>
  <c r="N367" i="1" s="1"/>
  <c r="I31" i="1"/>
  <c r="N31" i="1" s="1"/>
  <c r="I199" i="1"/>
  <c r="N199" i="1" s="1"/>
  <c r="I40" i="1"/>
  <c r="N40" i="1" s="1"/>
  <c r="I333" i="1"/>
  <c r="N333" i="1" s="1"/>
  <c r="I149" i="1"/>
  <c r="N149" i="1" s="1"/>
  <c r="I215" i="1"/>
  <c r="N215" i="1" s="1"/>
  <c r="I118" i="1"/>
  <c r="N118" i="1" s="1"/>
  <c r="I11" i="1"/>
  <c r="N11" i="1" s="1"/>
  <c r="P215" i="1" l="1"/>
  <c r="P149" i="1"/>
  <c r="P333" i="1"/>
  <c r="P40" i="1"/>
  <c r="P199" i="1"/>
  <c r="P31" i="1"/>
  <c r="P367" i="1"/>
  <c r="P238" i="1"/>
  <c r="P11" i="1"/>
  <c r="P118" i="1"/>
</calcChain>
</file>

<file path=xl/sharedStrings.xml><?xml version="1.0" encoding="utf-8"?>
<sst xmlns="http://schemas.openxmlformats.org/spreadsheetml/2006/main" count="2836" uniqueCount="1272">
  <si>
    <t>status;nome;cpf;idade;data_nascimento;cidade;regiao;renda_mensal;credito_tomado;flag_inadimplente;qtde_batalhas;nivel_risco;flag_inadimplente;valor_solicitado
Ativo;Ellaria Baelish;000.000.336-00;32;13/01/1994;Ninho da Águia;Vale;15600;0;Sim;34;;Sim;16000
Inativo;Stannis Lannister;36100;24;26/02/2002;Ponta Tempestade;Terras da Tempestade;11000 moedas;76500;Sim;33;;Sim;26000
Ativo;Asha Hornwood;000.000.363-00;33;34144;Pedra do Dragão;Terras da Coroa;21500 moedas;N/A;não;22;;não;51500
Ativo;Jorah Dondarrion;000.000.210-00;63;23156;Pyke | Ilhas de Ferro;;10400 moedas;8500;não;39;;não;36500
Ativo;Jojen Florent;000.000.321-00;32;34299;Ninho da Águia;vale;R$ 30.000,00;;Não;5;;Não;65000
Ativo;Olenna Baelish;000.000.191-00;48;28647;Lannisporto;;13200;3500 moedas;Não;1;;Não;32500
ATIVO;Brienne Manderly;000.000.076-00;28;04/02/1998;Lannisporto;Oeste;8600 moedas;R$ 19.000,00;Sim;4;;Sim;32500
Inativo;yara targaryen;000.000.059-00;42;08/05/1984;Pyke;Ilhas De Ferro;18200 moedas;31000 moedas;Não;19;;Não;63500
Ativo;Margaery Tarly;000.000.274-00;34;21/01/1992;Pyke;ilhas de ferro;8000;14.500;Sim;9;;Sim;17500
Inativo;Viserys Seaworth;000.000.024-00;61;17/10/1964;Meereen;Essos;23000 moedas;44500;Sim;32;;Sim;2000
Ativo;Tormund  Cerwyn;000.000.039-00;33;34147;Meereen;Essos;28700;12500;Não;41;;Não;99500
Ativo;catelyn westerling;35800;70;20515;Braavos;Essos;19500 moedas;62000;Sim;45;;Sim;35500
Ativo;Robb Baratheon;000.000.365-00;54;24/03/1972;Ponta Tempestade;Terras da Tempestade;22100;37000;Não;34;;Não;87000
Ativo;Asha Tallhart;8600;;32260;Pyke;Ilhas de Ferro;17600 moedas;0;Sim;31;;Sim;47500
Inativo;Missandei Tarly;200;55;25892;Ponta Tempestade;TERRAS DA TEMPESTADE;5300;6.500;Não;42;;Não;96000
Inativo;Jeor Mallister;000.000.162-00;47;29064;Correrrio;Terras Fluviais;13300;1000;Sim;24;;Sim;61500
Inativo;Eddard Crakehall;31800;43;30391;Castelo Negro;Norte;7100;5500 moedas;Não;23;;Não;67000
Ativo;Podrick Swyft;000.000.090-00;32;03/05/1994;Correrrio;TERRAS FLUVIAIS;21.300;R$ 48.000,00;Não;11;;Não;35000
Ativo;Podrick Dayne;22300;25;01/11/2000;Vilavelha;Campina;9.400;51500;Não;14;;Não;29500
Ativo;Ellaria Seaworth;000.000.125-00;23;37627;Correrrio;TERRAS FLUVIAIS;;69000;Não;20;;Não;69000
Inativo;Melisandre Clegane;000.000.231-00;53;26/11/1972;Ilha dos Ursos;NORTE;16.500;R$ 4.000,00;Não;14;;Não;36000
Ativo;Robert Karstark;000.000.184-00;;21378;Meereen;;14300;32500;Sim;15;;Sim;8000
Inativo;rhaegar stark;000.000.119-00;33;23/04/1993;Meereen;Essos;23600;75.500;Não;16;;Não;88000
Ativo;Loras Greyjoy;000.000.362-00;68;21145;Fosso Cailin;Norte;29000;67500;Não;25;;Não;18000
Inativo;Jorah Hightower;000.000.346-00;62;05/09/1963;Pedra do Dragão;TERRAS DA COROA;;0;Sim;1 batalhas;;Sim;12000
Ativo;Loras Clegane;000.000.287-00;58;24911;Harrenhal;Terras Fluviais;R$ 25.400,00;70500;Sim;11;;Sim;47000
Ativo;Jojen Florent;34300;48;10/10/1977;Winterfell;;13.300;42000;Sim;27;;Sim;40000
Ativo;samwell yronwood;000.000.124-00;29;35323;Jardim de Cima;Campina;21200;75000;Não;6;;Não;63500
Ativoo;Catelyn Yronwood;000.000.226-00;38;32166;Castelo Negro;norte;19500 moedas;39000;Não;25;;Não;88500
Inativo;Brienne Reed;000.000.306-00;68;21293;Pyke;Ilhas de Ferro;3800;70000;Sim;34;;Sim;7500
Ativo;Rhaegar Umber;000.000.247-00;19;18/05/2007;Vilavelha;Campina;18000;50500;sim;11;;sim;26000
Ativo;Roose Manderly;15400;42;30642;Dorne;Dorne;sem renda;19500;Não;42;;Não;89500
Ativo;Jeor Florent;000.000.249-00;27;36319;Ponta Tempestade;terras da tempestade;28800;78.500;Não;2;;Não;53000
Ativo;Bran Yronwood;000.000.057-00;42;30878;Pyke;Ilhas de Ferro;17500;3500;Nao;25;;Nao;35000
Ativo;BRONN ARRYN;000.000.016-00;44;29975;Lannisporto;oeste;5300;6000;Sim;1;;Sim;4500
Ativo;Shae Clegane;000.000.205-00;40;07/05/1986;Fosso Cailin;Norte;9900;3500;Não;1;;Não;23500
Ativo;Ramsay Hornwood;000.000.005-00;65;16/11/1960;Pyke;Ilhas De Ferro;23400 moedas;28000;Não;34;;Não;74000
;MEERA PAYNE;000.000.131-00;63;22974;Dorne;DORNE;R$ 14.700,00;0;sim;40;;sim;83500
Ativo;MELISANDRE BARATHEON;000.000.364-00;22;;Meereen;Essos;14400;0;Não;27 batalhas;;Não;33500
ATIVO;Podrick Targaryen;000.000.050-00;39;31879;Vilavelha;Campina;29900 moedas;0;Não;39;;Não;75000
Ativo;Margaery Manderly;000.000.222-00;63;23231;Winterfell;Norte;16800;0;;32;;;61500
Ativo;Daenerys Seaworth;000.000.341-00;54;07/10/1971;Vilavelha;CAMPINA;29700;34000;Não;35;;Não;35000
Ativo;Brienne Manderly;000.000.140-00;29;35472;Fosso Cailin | Norte;;11900;65000;Sim;29;;Sim;12000
Ativo;Jorah Redwyne;16500;37;32513;Monte Chifre;campina;R$ 2.600,00;N/A;Não;5;;Não;16500
Ativo;Margaery  Hornwood;15100;25;22/08/2001;Dorne;Dorne;2500;72500;Não;32;;Não;97000
Ativo;Arya Redwyne;000.000.333-00;21;38323;Correrrio;Terras Fluviais;3800 moedas;0;Não;25;;Não;50000
Ativo;VARYS BRACKEN;000.000.215-00;28;02/04/1998;Porto Real;Terras da Coroa;2000 moedas;51000;Nao;12;;Nao;72500
Ativo;Brienne Royce;10800;39;20/12/1986;Vilavelha;campina;24700;23500 moedas;Não;43;;Não;57000
Ativo;Rickon Redwyne;15000;73;19588;Fosso Cailin;Norte;28.600;40500;Não;20;;Não;2500
Ativo;Tormund Karstark;000.000.284-00;42;12/12/1983;Castelo Negro;NORTE;20400;0;Nao;0;;Nao;81000
Ativo;Bran Dayne;000.000.288-00;48;01/11/1977;Pyke;Ilhas De Ferro;4500 moedas;0;Não;3;;Não;48500
Inativo;Jorah Dondarrion;000.000.294-00;39;08/10/1986;Lannisporto;Oeste;22200;0;Sim;3;;Sim;7000
Ativo;Aegon Frey;000.000.338-00;56;18/11/1969;Dorne;Dorne;11100 moedas;63000;Não;0;;Não;56000
Ativo;Daenerys Snow;14200;48;10/07/1978;Dorne | Dorne;;15800;N/A;Não;12;;Não;69500
Ativo;Asha Baratheon;000.000.195-00;70;25/04/1956;Braavos;Essos;16300;16500;Não;25;;Não;65500
ATIVO;Rickon Crakehall;000.000.066-00;24;37435;Atalaia da Água Cinzenta;gargalo;6100;;NÃO;15;;NÃO;67000
Ativo;Eddard Mallister;000.000.309-00;47;28802;Atalaia da Água Cinzenta;GARGALO;22700;8500;;35;;;23500
Ativo;Daario Clegane;000.000.270-00;33;04/10/1992;Castelo Negro;NORTE;29.700;22000;Não;38 batalhas;;Não;81000
Inativo;Ellaria Mallister;000.000.194-00;38;21/11/1987;Pyke;ilhas de ferro;13500;24000;Não;2;;Não;17500
Inativo;Stannis  Cerwyn;3400;35;27/11/1990;Winterfell;norte;17600;44000;NÃO;22;;NÃO;56500
Inativo;ELLARIA TARLY;000.000.026-00;67;21512;Braavos;ESSOS;R$ 3.200,00;6500;Não;20;;Não;52500
ativo;Daario Tyrell;000.000.251-00;51;14/12/1974;Pyke;Ilhas De Ferro;16300;;Nao;8;;Nao;33000
Inativo;Daario Marbrand;000.000.014-00;46 anos;15/09/1979;Fosso Cailin;Norte;15000;32500;Não;40;;Não;4500
Ativo;Thoros Tarth;23900;39;31740;Pyke;ILHAS DE FERRO;R$ 13.200,00;N/A;Não;38 batalhas;;Não;36000
Ativo;Arya Marbrand;000.000.133-00;24;37172;Ninho da Águia;Vale;21600;R$ 25.000,00;Não;33;;Não;17500
Ativo;Davos Tyrell;16100;57;;Lannisporto;oeste;sem renda;;Sim;28 batalhas;;Sim;13000
Ativo;Lyanna Florent;6300;68;;Pedra do Dragão;Terras da Coroa;19.900;35000;Nao;25;;Nao;59500
Ativo;Varys Bolton;27200;56;22/05/1970;Fosso Cailin;Norte;14100;1500;Não;26;;Não;36000
ATIVO;Shae Seaworth;000.000.030-00;33;27/02/1993;Braavos;essos;3400;0;Não;13;;Não;70000
Ativo;Jojen Reed;000.000.136-00;41;19/09/1984;Ponta Tempestade;Terras da Tempestade;20000 moedas;20.500;Sim;8;;Sim;44000
Ativo;Podrick Blackwood;000.000.135-00;;18/03/1994;Dorne;Dorne;;0;Não;20;;Não;42000
Ativo;Renly Mallister;000.000.372-00;34;33525;Winterfell;;28000;36500;Não;33;;Não;60000
Ativo;Cersei Clegane;000.000.323-00;24;37259;Dorne;Dorne;25200;0;Não;10;;Não;69500
Ativo;BERIC CRAKEHALL;000.000.067-00;55;26104;Pyke;Ilhas De Ferro;22.100;41500;Não;18;;Não;65000
Inativo;Ellaria Bracken;000.000.138-00;59;24512;Monte Chifre;CAMPINA;6300;15000;Não;42;;Não;8500
Inativo;Ellaria  Reed;000.000.311-00;70;17/02/1956;Lannisporto;Oeste;2.500;0;Não;38;;Não;44500
Ativo;Daenerys Tallhart;000.000.092-00;37;32543;Vilavelha;Campina;29200;R$ 45.000,00;Não;26;;Não;23500
Ativo;Lyanna Marbrand;000.000.283-00;27;36308;Correrrio;Terras Fluviais;5300;22000 moedas;NÃO;11;;NÃO;28500
Ativo;Ramsay Dondarrion;000.000.054-00;55;25874;Dorne;dorne;29.100;5500 moedas;Não;11;;Não;56000
ATIVO;Thoros  Baelish;000.000.011-00;53;28/05/1973;Meereen;Essos;27800;R$ 52.000,00;Não;43;;Não;93500
Ativo;Melisandre Blackwood;000.000.051-00;40;31647;Fosso Cailin;Norte;R$ 18.700,00;15000;;26;;;89500
Ativo;Yara Baelish;34400;64;22836;Solar do Entardecer;Terras Da Tempestade;24300;16.500;Sim;24;;Sim;57000
Ativo;Cersei Stark;000.000.293-00;25;19/07/2001;Ninho da Águia;Vale;28.800;;Não;12;;Não;46500
Ativo;Jon  Karstark;000.000.139-00;55 anos;16/08/1971;Jardim de Cima;;12200;70500 moedas;não;33;;não;78000
Ativo;Yara Royce;32000;68;21162;Castelo Negro;Norte;11.500;17500;Não;19;;Não;26000
Ativo;Jeor Lannister;000.000.091-00;37;32412;Fosso Cailin;norte;24700;R$ 23.000,00;Sim;10 batalhas;;Sim;37500
Ativo;bran florent;000.000.218-00;62;23488;Ninho da Águia;Vale;sem renda;N/A;Não;38 batalhas;;Não;72000
Ativo;Jojen Redwyne;000.000.334-00;24 anos;37491;Dorne;dorne;R$ 8.900,00;19500;Sim;33;;Sim;96500
Ativo;Bronn Mallister;000.000.200-00;35;;Vilavelha;Campina;28000;76500 moedas;Não;39;;Não;32000
Ativo;Olenna Reed;000.000.248-00;40;31408;Braavos | Essos;;17400;53.000;Sim;20;;Sim;52500
Ativoo;Jon Hightower;000.000.081-00;59;24362;Winterfell;Norte;18900;1000;sim;42;;sim;16500
Inativo;renly dayne;000.000.065-00;;19672;Dorne;Dorne;21000;0;Nao;11;;Nao;75500
Ativo;Missandei Karstark;000.000.044-00;42;16/12/1983;Pedra do Dragão;terras da coroa;6000;R$ 55.000,00;Não;5;;Não;10000
Ativo;Catelyn Cerwyn;000.000.308-00;60;06/12/1965;Atalaia da Água Cinzenta;gargalo;13.800;45500;Não;30;;Não;17500
Ativo;Margaery Dayne;000.000.276-00;36;32791;Jardim de Cima;CAMPINA;23900;58000;Não;27;;Não;38000
Ativo;Rickon Karstark;000.000.088-00;74;19121;Castelo Negro;Norte;7300;1000;Não;3;;Não;50500
Ativoo;Jorah Seaworth;20700;66;23/08/1960;Fosso Cailin | Norte;;28800 moedas;16000;Sim;44;;Sim;59000
Ativo;Stannis Redwyne;000.000.216-00;34;33835;Jardim de Cima | Campina;;5100;17000;Não;3 batalhas;;Não;4500
Ativo;Yara Royce;000.000.277-00;65;04/06/1961;Ninho da Águia;vale;12700;R$ 60.500,00;Não;36;;Não;28000
Inativo;LORAS BAELISH;000.000.217-00;68;20/01/1958;Jardim de Cima;Campina;8200;R$ 66.000,00;Não;16;;Não;84000
Inativo;Viserys Florent;000.000.129-00;59;23/03/1967;Meereen;Essos;R$ 15.200,00;11000;NÃO;27;;NÃO;87000
Ativo;Jon Marbrand;000.000.359-00;29;35600;Porto Real;terras da coroa;10000;25500;Não;15;;Não;66000
Ativo;Aegon Bracken;000.000.244-00;69;20725;Correrrio;terras fluviais;8100;27500;NÃO;42;;NÃO;72500
Ativo;Daenerys Tallhart;000.000.092-00;37;32543;Vilavelha;Campina;29200;R$ 45.000,00;Não;26;;Não;78000
Inativo;loras payne;000.000.027-00;30;15/05/1996;Braavos;ESSOS;26500;14500;0;15;;0;65500
Ativo;Missandei  Tarly;000.000.196-00;58;24905;Meereen;ESSOS;12.400;21.500;Sim;24 batalhas;;Sim;80000
Ativo;Aegon Baelish;24000;47;25/06/1979;Meereen | Essos;;28.400;78000;Não;37;;Não;99000
Ativo;MELISANDRE TARGARYEN;000.000.170-00;31;02/06/1995;Fosso Cailin | Norte;;20500;R$ 47.500,00;Não;11;;Não;18500
loqueado;Roose Cerwyn;000.000.047-00;63;23084;Vilavelha;Campina;17300;22000;Não;10;;Não;97000
Ativo;Shae Frey;12700;26;24/12/1999;Ilha dos Ursos;Norte;R$ 5.000,00;61500 moedas;Não;35;;Não;18500
Ativo;Lyanna Swyft;18000;29;35344;Ninho da Águia;vale;19900;49500;Sim;27;;Sim;23000
Ativo;Rhaegar Targaryen;000.000.342-00;51;19/01/1975;Fosso Cailin;NORTE;18500;69.500;Não;31 batalhas;;Não;18000
Ativo;Varys Targaryen;000.000.234-00;46;08/12/1979;Meereen;Essos;3200;0;Não;16;;Não;61500
Ativo;Robb Stark;000.000.228-00;65;12/08/1961;Ilha dos Ursos;Norte;R$ 29.000,00;28500;Não;28;;Não;57500
Ativo;Gendry Hightower;000.000.167-00;26;36475;Harrenhal | Terras Fluviais;;13900;R$ 53.500,00;Não;12;;Não;85000
Inativo;tormund glover;000.000.087-00;63;22994;Pyke;ilhas de ferro;20000;R$ 29.500,00;Não;42;;Não;5000
Ativo;Tyrion Snow;27900;71;05/01/1955;Monte Chifre;Campina;24100;0;NÃO;10;;NÃO;87000
Ativo;Beric  Umber;;73;19538;Pedra do Dragão;terras da coroa;12700;R$ 79.500,00;Não;35;;Não;39000
Ativo;Varys Florent;26400;57;25238;Harrenhal | Terras Fluviais;;3200;;Não;18;;Não;64000
Ativo;Catelyn Umber;9900;64;01/07/1962;Harrenhal;TERRAS FLUVIAIS;R$ 2.900,00;R$ 76.000,00;Não;32;;Não;72500
Inativo;Samwell Glover;16000;73;01/11/1952;Ponta Tempestade;TERRAS DA TEMPESTADE;7100;R$ 58.000,00;Sim;22;;Sim;46500
Ativo;Thoros Clegane;000.000.141-00;28;17/07/1998;Lannisporto;Oeste;R$ 13.400,00;R$ 54.000,00;Não;15;;Não;99000
Ativo;THEON BARATHEON;000.000.375-00;26;36622;Dorne;Dorne;22900 moedas;R$ 65.500,00;SIM;40;;SIM;95500
Ativo;Melisandre  Baelish;000.000.152-00;69;19/08/1957;Ponta Tempestade;Terras da Tempestade;25100 moedas;40500;Não;43;;Não;24500
Ativo;Robert Yronwood;000.000.075-00;67;15/03/1959;Winterfell;NORTE;8500;R$ 39.500,00;Sim;;;Sim;42000
Ativo;Meera Reed;000.000.314-00;53;12/10/1972;Fosso Cailin;Norte;12200;R$ 79.500,00;Nao;45;;Nao;57000
Ativo;tormund royce;000.000.297-00;55;25880;Ponta Tempestade;Terras da Tempestade;27500;14000;Não;3;;Não;11500
Ativo;Rickon Karstark;8900;;23/08/1991;Atalaia da Água Cinzenta;gargalo;24000;0;Sim;3;;Sim;60000
Inativo;Podrick Blackwood;8300;31;34828;Porto Real;Terras da Coroa;24.900;72000;Não;35;;Não;79000
Ativo;Tyrion Karstark;3800;41;06/11/1984;Lannisporto;OESTE;28.600;R$ 67.500,00;Não;39;;Não;22000
Ativo;Missandei Florent;000.000.282-00;56;25671;Harrenhal;Terras Fluviais;28300;56000;Não;6;;Não;77000
Ativo;Varys  Stark;37700;23;06/11/2002;Braavos;ESSOS;2600;0;Sim;30;;Sim;11000
Ativo;Jeor Karstark;000.000.310-00;25;37137;Ninho da Águia;Vale;;21.000;Não;34;;Não;7500
Ativo;RENLY MORMONT;000.000.376-00;57;25199;Vilavelha;CAMPINA;R$ 20.700,00;64500;Não;19 batalhas;;Não;54500
ativo;Eddard Royce;000.000.181-00;73;16/11/1952;Pedra do Dragão;Terras Da Coroa;6100;16000 moedas;Não;9;;Não;24500
Ativo;Rhaegar Lannister;37000;24;03/02/2002;Jardim de Cima;campina;R$ 6.400,00;41.000;Não;22;;Não;74500
ATIVO;Varys Blackwood;000.000.373-00;47;;Braavos;;11.600;63.500;0;18;;0;3000
Inativo;EDDARD WESTERLING;000.000.094-00;52;27186;Ponta Tempestade;terras da tempestade;6400;37000;Não;1;;Não;87000
Inativo;Varys  Blackwood;26700;54;26453;Atalaia da Água Cinzenta;gargalo;3900;80000;Não;41 batalhas;;Não;30000
Ativo;Olenna Bracken;000.000.225-00;45;12/01/1981;Lannisporto;oeste;22800;;Não;10;;Não;31000
Ativo;Aegon Marbrand;35200;65;22337;Castelo Negro;Norte;3800;49500;Não;16;;Não;15500
Ativo;Beric Tyrell;000.000.242-00;66;22151;Vilavelha;Campina;11800;R$ 2.000,00;Sim;23;;Sim;72500
Inativo;Asha Manderly;000.000.357-00;29;35607;Ilha dos Ursos;Norte;13800;41500;Não;34;;Não;66000
Ativo;Ellaria Mormont;000.000.157-00;22;10/10/2003;Ponta Tempestade;Terras da Tempestade;2300;0;Sim;29 batalhas;;Sim;51500
Inativo;Grey Worm Baratheon;000.000.221-00;29;35598;Dorne;Dorne;15500;75000;NÃO;25;;NÃO;47000
Ativo;Ellaria Swyft;000.000.115-00;72;19839;Ninho da Águia;VALE;R$ 3.900,00;27000;Não;33;;Não;2000
Ativo;Grey  Worm  Greyjoy;000.000.182-00;58;16/08/1968;Jardim de Cima;campina;4.500;;Sim;31;;Sim;97500
Ativoo;Jeor  Payne;20900;33;34021;Ponta Tempestade;Terras da Tempestade;;73500;Não;33;;Não;95000
Ativo;Bronn Royce;36900;61;23928;Solar do Entardecer;Terras da Tempestade;22900;7500;Não;12;;Não;73000
Ativo;Robert Hornwood;000.000.259-00;73;19363;Jardim de Cima;Campina;23000 moedas;R$ 19.000,00;Não;0;;Não;17000
inativo;Asha Bolton;6900;51;27590;Castelo Negro;Norte;19.400;4000;Não;30;;Não;38500
Ativo;Bronn Blackwood;000.000.052-00;43;24/12/1982;Atalaia da Água Cinzenta;gargalo;R$ 18.400,00;62000;Não;33;;Não;31000
Inativo;Daario Arryn;000.000.173-00;63;23119;Ninho da Águia;vale;9300;48500;Não;28;;Não;20000
Inativo;Jeor Marbrand;000.000.073-00;63;05/10/1962;Braavos;ESSOS;29000;R$ 36.500,00;Não;38;;Não;47000
Inativo;Petyr Karstark;23700;;19234;Jardim de Cima;Campina;R$ 8.900,00;R$ 4.000,00;Não;38;;Não;22500
;Ramsay Stark;000.000.169-00;61;23813;Braavos;Essos;R$ 26.300,00;40000;Sim;10 batalhas;;Sim;16500
Ativo;Thoros Karstark;000.000.012-00;53;28/11/1972;Atalaia da Água Cinzenta;Gargalo;R$ 22.700,00;42500;Sim;25;;Sim;86000
Ativo;Ellaria Martell;000.000.148-00;48;28673;Atalaia da Água Cinzenta;Gargalo;R$ 2.300,00;26500;não;44;;não;81000
Inativo;Yara Payne;000.000.250-00;;38001;Fosso Cailin;NORTE;2100;79500;Sim;29;;Sim;64000
Inativo;Viserys Baratheon;000.000.186-00;33;17/12/1992;Winterfell;Norte;25700;35000;Não;40;;Não;1000
Inativo;Jeor Clegane;27300;66;21873;Fosso Cailin;Norte;R$ 9.900,00;42000 moedas;Não;13;;Não;37000
Ativoo;SANDOR WESTERLING;33700;44;30167;Vilavelha;;5500;R$ 26.000,00;Não;30 batalhas;;Não;64000
Inativo;Gilly Frey;000.000.258-00;33;04/07/1993;Castelo Negro;Norte;2400;R$ 78.000,00;Não;6;;Não;28000
Ativo;Loras Bracken;000.000.254-00;51;21/04/1975;Atalaia da Água Cinzenta | Gargalo;;R$ 7.200,00;17500 moedas;Sim;40;;Sim;5500
inativo;Varys Tallhart;;61;23932;Correrrio;Terras Fluviais;4100;78000;Não;25;;Não;48000
Ativo;Roose Bracken;18800;43;30355;Ilha dos Ursos;Norte;R$ 21.700,00;31000;Não;27;;Não;45500
Ativo;Varys Arryn;000.000.097-00;56;28/08/1970;Vilavelha;Campina;5400;61000;Não;12;;Não;96500
ATIVO;Asha Redwyne;10200;35;25/07/1991;Pedra do Dragão;Terras da Coroa;8.400;62500;Não;31;;Não;83500
Inativo;Beric Tallhart;000.000.291-00;44;29948;Dorne;Dorne;;0;Não;4;;Não;80000
Inativo;Margaery Cerwyn;000.000.211-00;31;08/02/1995;Vilavelha;Campina;22600;58000;Nao;5 batalhas;;Nao;26500
Inativo;Jorah Redwyne;4000;48;22/06/1978;Porto Real;Terras da Coroa;24700;30500;Não;34;;Não;87500
Inativo;Loras Frey;000.000.017-00;30;35213;Jardim de Cima | Campina;;3900;45000;Não;34;;Não;41500
Inativo;Bran Karstark;000.000.241-00;21;07/12/2004;Pyke;ILHAS DE FERRO;4400;23500;Sim;31;;Sim;91000
Ativo;ROBERT CERWYN;30000;48;28509;Harrenhal;TERRAS FLUVIAIS;17800 moedas;R$ 9.000,00;0;28;;0;80000
Ativo;Thoros Yronwood;000.000.201-00;;25925;Pyke;ILHAS DE FERRO;R$ 20.200,00;61000;Não;10;;Não;6500
;Bronn Umber;000.000.177-00;56;17/05/1970;Porto Real;Terras da Coroa;R$ 11.100,00;R$ 13.000,00;Não;38;;Não;88000
Ativo;Brienne Dayne;000.000.070-00;62;22/11/1963;Pedra do Dragão;Terras da Coroa;11900;58.500;Não;37;;Não;48000
Ativo;Bronn Bolton;000.000.143-00;26;36619;Harrenhal;Terras Fluviais;26800 moedas;42500;Sim;29;;Sim;66000
Ativo;Rhaegar Hornwood;000.000.178-00;30;14/02/1996;Ponta Tempestade;TERRAS DA TEMPESTADE;2600;62000;Não;22;;Não;62000
Ativo;Meera Tarly;000.000.326-00;;23/06/1952;Pyke;Ilhas de Ferro;25000;0;Não;3;;Não;2500
Inativo;THOROS HORNWOOD;000.000.245-00;65;22205;Castelo Negro;Norte;19800;78.500;Não;34;;Não;23000
Inativo;Jeor Martell;000.000.061-00;58;11/09/1967;Meereen;Essos;20100 moedas;40000;Não;16;;Não;98500
Ativo;Lyanna Stark;000.000.023-00;45;29769;Ponta Tempestade;terras da tempestade;24400;R$ 7.500,00;Nao;13;;Nao;95000
Ativo;Rhaegar Tallhart;34800;26;36596;Ilha dos Ursos;norte;3500;50000;0;40;;0;46500
Ativo;Petyr Greyjoy;000.000.301-00;42;30898;Lannisporto;;20800;R$ 54.000,00;Não;4;;Não;73500
Inativo;Renly Redwyne;000.000.045-00;66;08/02/1960;Porto Real;TERRAS DA COROA;3400;78000;Não;9;;Não;51500
inativo;Asha Arryn;000.000.122-00;49;28049;Castelo Negro;Norte;25200;59500;Não;37;;Não;86500
Ativo;Podrick Florent;000.000.354-00;60;06/10/1965;Winterfell;NORTE;22900;4500;Sim;29;;Sim;43500
INATIVO;Daario Cerwyn;17500;60;15/12/1965;Lannisporto;Oeste;10100;55000;Não;26;;Não;54000
Ativo;Catelyn Tarly;16300;27 anos;05/04/1999;Castelo Negro;Norte;14000;63500;Não;24;;Não;87000
Ativo;Rickon Lannister;000.000.197-00;53;26898;Fosso Cailin;Norte;27100;68000;Não;40 batalhas;;Não;49500
Ativo;Jorah Marbrand;000.000.168-00;37;32414;Pedra do Dragão | Terras da Coroa;;12800;76500;Não;30 batalhas;;Não;18500
Ativo;Renly Seaworth;35000;18;17/09/2007;Vilavelha;Campina;28900;22000;Não;23;;Não;90000
Ativo;Lyanna Marbrand;000.000.283-00;27;36308;Correrrio;Terras Fluviais;5300;22000 moedas;NÃO;11;;NÃO;4500
Ativo;robert mallister;000.000.037-00;25;36824;Castelo Negro;Norte;18300;41000;Não;9;;Não;32500
Ativo;Ramsay Dayne;000.000.224-00;55;26103;Ponta Tempestade;Terras da Tempestade;9600;43000;Não;36;;Não;67500
Ativo;BRIENNE KARSTARK;000.000.031-00;23;37530;Pyke | Ilhas de Ferro;;10700;15000;Não;42;;Não;81500
Inativo;Tormund Greyjoy;000.000.009-00;58;24872;Pyke;ILHAS DE FERRO;R$ 12.500,00;44.500;NÃO;13;;NÃO;16000
Ativo;Jaime Yronwood;;24;;Pedra do Dragão;Terras Da Coroa;17000;41000;Não;37;;Não;33000
Ativo;Thoros Payne;7700;;17/10/1985;Harrenhal;Terras Fluviais;14000;0;Nao;24;;Nao;82000
Ativo;Asha Tallhart;000.000.006-00;59;24710;Correrrio | Terras Fluviais;;19.900;55.000;Não;26;;Não;100000
Inativo;theon tarth;000.000.289-00;74;19073;Lannisporto;;7100;61500;Não;1 batalhas;;Não;50500
Ativo;Stannis Seaworth;000.000.316-00;64;28/08/1962;Pyke;Ilhas de Ferro;8.800;R$ 66.000,00;Não;28;;Não;5000
Inativo;Tormund Greyjoy;000.000.009-00;58;24872;Pyke;ILHAS DE FERRO;R$ 12.500,00;44.500;NÃO;13;;NÃO;98500
Ativo;Grey Worm Dondarrion;23300;38;32066;Meereen;Essos;9700;25.000;Não;0;;Não;55500
Ativo;Olenna Arryn;9600;49;28330;Braavos;Essos;11500;44500;Não;45;;Não;3000
Ativo;Tyrion Tyrell;19000;42;12/02/1984;Ilha dos Ursos;Norte;18500;R$ 59.000,00;Não;44;;Não;16500
Ativo;Robb Clegane;000.000.304-00;18;39338;Fosso Cailin;NORTE;14.100;38500;Não;7;;Não;11000
Ativo;Bran Dondarrion;4900;18;39369;Meereen;essos;18500;74500;Sim;20;;Sim;45500
Inativo;Jeor Baelish;000.000.332-00;66;03/05/1960;Dorne;dorne;14300 moedas;78000 moedas;Não;28;;Não;74500
Ativo;Jaime Dondarrion;000.000.056-00;35;08/04/1991;Ninho da Águia;Vale;20900 moedas;54000;0;44;;0;18000
Ativo;Loras Manderly;27800;38;32152;Monte Chifre | Campina;;2000;60000;Não;18 batalhas;;Não;54000
Inativo;Daario Marbrand;000.000.014-00;46 anos;15/09/1979;Fosso Cailin;Norte;15000;0;Não;40;;Não;90500
Ativo;Beric Seaworth;000.000.025-00;72;19800;Correrrio;Terras Fluviais;24300;13500;Não;33;;Não;14500
Ativo;Lyanna Seaworth;000.000.041-00;69;;Braavos;Essos;4.500;0;Sim;32;;Sim;56500
Ativo;Margaery Marbrand;000.000.146-00;22;38079;Ponta Tempestade;Terras da Tempestade;9200;R$ 5.000,00;Não;42;;Não;63500
Ativo;Tormund Yronwood;000.000.187-00;39;31972;Correrrio;TERRAS FLUVIAIS;8700;4500 moedas;Não;16;;Não;93500
Ativo;Ramsay Tarly;9800;35;21/07/1991;Pyke;ILHAS DE FERRO;R$ 2.000,00;R$ 5.500,00;Não;34;;Não;71000
Ativo;Shae Mormont;000.000.114-00;72;19623;Lannisporto;Oeste;12.600;5.500;Não;35;;Não;21000
Ativo;renly bolton;000.000.303-00;24;;Castelo Negro;Norte;29300;32000;Sim;26;;Sim;59000
Inativo;Grey Worm Hornwood;000.000.322-00;26;36540;Pedra do Dragão;TERRAS DA COROA;24000;52000 moedas;Não;30;;Não;62500
Ativo;Rhaegar Dayne;000.000.335-00;35;33309;Correrrio;Terras Fluviais;28500;R$ 48.500,00;Não;24;;Não;80500
Ativo;BRAN BOLTON;000.000.003-00;23;13/06/2003;Porto Real;Terras Da Coroa;17.900;28000;Não;41;;Não;52500
Inativo;Shae Tarly;000.000.235-00;33;33902;Jardim de Cima;campina;12500;51500;Sim;44;;Sim;24000
Ativo;Shae Mormont;000.000.307-00;63;11/09/1962;Dorne;Dorne;5500;R$ 41.000,00;Não;2;;Não;54500
Inativo;Melisandre Crakehall;000.000.260-00;31;05/07/1995;Pedra do Dragão;Terras da Coroa;16.400;45500 moedas;não;6;;não;49500
ATIVO;Sandor Westerling;000.000.008-00;71;03/10/1954;Atalaia da Água Cinzenta;gargalo;15100;N/A;Não;42;;Não;77000
Ativo;Petyr Snow;21900;67;21619;Ponta Tempestade;TERRAS DA TEMPESTADE;20200;6500;Não;1;;Não;98500
Ativo;Robert Tarth;000.000.001-00;27;08/05/1999;Winterfell;Norte;29700;12000;Não;37;;Não;49000
Ativo;Robb Greyjoy;000.000.227-00;25;14/06/2001;Fosso Cailin;Norte;25400;4000;Não;4;;Não;8500
Ativo;Yara  Marbrand;000.000.266-00;70;20533;Atalaia da Água Cinzenta;Gargalo;9100;40500;Não;35;;Não;53000
Inativo;Cersei  Marbrand;000.000.158-00;57;01/05/1969;Ilha dos Ursos;NORTE;9500;58000;Nao;23;;Nao;81500
Inativo;Melisandre Baratheon;000.000.020-00;58;25054;Porto Real;TERRAS DA COROA;R$ 4.500,00;R$ 20.000,00;Sim;9;;Sim;49000
Inativo;Yara Tallhart;6400;57;25206;Correrrio;terras fluviais;3400;0;Não;20;;Não;19500
Ativo;Gilly Mormont;000.000.220-00;65;26/03/1961;Jardim de Cima;campina;18.000;0;Não;27;;Não;38500
Ativo;Brienne Dondarrion;000.000.256-00;39;06/02/1987;Ilha dos Ursos;Norte;R$ 9.300,00;R$ 36.500,00;Não;;;Não;3000
Ativo;Missandei Glover;30500;62;23278;Castelo Negro;Norte;17000;64000;Sim;21;;Sim;19000
Inativo;Bronn Manderly;000.000.074-00;69;20785;Castelo Negro;NORTE;16000;R$ 48.000,00;Não;29;;Não;74500
Inativo;Aegon Florent;27100;55;23/11/1970;Meereen;Essos;6800;12000;Não;6;;Não;11000
Ativo;Daario  Dayne;000.000.144-00;25;15/05/2001;Solar do Entardecer;Terras da Tempestade;28200;0;Não;29;;Não;92500
Inativo;Roose Cerwyn;34900;32 anos;34387;Castelo Negro;Norte;20500;0;Não;41 batalhas;;Não;54500
Ativo;Roose Dondarrion;000.000.126-00;53;26620;Ninho da Águia;vale;R$ 21.300,00;79500;Não;18 batalhas;;Não;19000
Ativo;Stannis Greyjoy;000.000.236-00;69;03/05/1957;Pedra do Dragão | Terras da Coroa;;13800;62000;Não;31;;Não;60500
Ativo;Thoros Greyjoy;000.000.043-00;27;36316;Vilavelha;campina;10.700;60000 moedas;Não;44;;Não;48000
Ativo;Thoros Crakehall;19300;74;17/05/1952;Porto Real;terras da coroa;20700;R$ 17.500,00;Não;35;;Não;65000
ativo;Viserys  Umber;000.000.155-00;;39230;Jardim de Cima;Campina;18000 moedas;49.500;Não;25;;Não;46500
Inativo;Grey Worm Hornwood;000.000.322-00;26;36540;Pedra do Dragão;TERRAS DA COROA;24000;52000 moedas;Não;30;;Não;11500
Ativo;Cersei Greyjoy;000.000.265-00;47;17/12/1978;Dorne;Dorne;21300 moedas;62.000;Sim;37;;Sim;92500
Ativo;Tormund Tyrell;000.000.378-00;34;33746;Dorne;Dorne;28900;37000;Não;21;;Não;97500
Ativo;Bronn Stark;000.000.313-00;30;25/04/1996;Ilha dos Ursos;Norte;R$ 13.800,00;42000;;29;;;7000
Inativo;Tyrion Blackwood;000.000.100-00;67;04/05/1959;Atalaia da Água Cinzenta;Gargalo;15200;67500;Não;12;;Não;97500
Ativo;Brienne Westerling;000.000.379-00;59;16/04/1967;Atalaia da Água Cinzenta;;6600;50000;Sim;9;;Sim;25000
Inativo;Beric Manderly;24300;25;37131;Lannisporto;Oeste;R$ 24.500,00;N/A;0;0;;0;55000
Ativo;Jojen Hornwood;000.000.128-00;;32796;Pedra do Dragão;Terras da Coroa;28600;;Não;19;;Não;90000
Inativo;theon baelish;000.000.380-00;36;32914;Atalaia da Água Cinzenta;Gargalo;27600;37000;Não;15;;Não;41500
Inativo;Aegon Hornwood;17100;45;29506;Solar do Entardecer;Terras da Tempestade;5100;R$ 25.000,00;Não;29;;Não;88000
ATIVO;Ellaria Redwyne;000.000.093-00;56;25551;Dorne;Dorne;22.600;63000;Não;33;;Não;53000
Ativo;missandei redwyne;000.000.111-00;47;01/06/1979;Meereen;Essos;5000;75.500;Sim;2;;Sim;89500
Ativo;Jorah Hightower;000.000.007-00;44;28/04/1982;Correrrio;Terras Fluviais;21700;34500;NÃO;29;;NÃO;10500
Ativo;Eddard Payne;15900;26;08/09/1999;Correrrio;Terras Fluviais;9200 moedas;R$ 68.500,00;Não;27;;Não;7000
Inativo;CERSEI GLOVER;000.000.324-00;49;10/06/1977;Pyke;Ilhas De Ferro;21900;69000;Não;4 batalhas;;Não;80500
Ativo;Theon Karstark;000.000.296-00;71;20187;Braavos;Essos;29200;73500;Não;2;;Não;33000
Ativo;Jon Cerwyn;000.000.112-00;65;22314;Ponta Tempestade;Terras Da Tempestade;6100;40000;Não;13 batalhas;;Não;22500
Ativo;Jon Bolton;000.000.130-00;65;22297;Lannisporto;Oeste;27.300;48500;Não;29;;Não;94000
Ativo;Robert Stark;000.000.315-00;57;25350;Harrenhal;Terras Fluviais;20600;52500;;16;;;97000
Ativo;Tyrion Lannister;2800;24;37470;Solar do Entardecer;terras da tempestade;16900;42500;Sim;26 batalhas;;Sim;12500
Inativo;Eddard Greyjoy;000.000.238-00;55;07/10/1970;Meereen;Essos;;5000;Não;8;;Não;11000
Ativo;Thoros Greyjoy;000.000.374-00;67;23/01/1959;Atalaia da Água Cinzenta;gargalo;6400;1000;NÃO;27;;NÃO;50000
Ativo;Gilly Marbrand;15600;44;29843;Pedra do Dragão;Terras da Coroa;11300;55000;Não;38;;Não;68500
Ativo;Catelyn Lannister;000.000.110-00;33;34070;Solar do Entardecer;terras da tempestade;29300;69000;Sim;0;;Sim;4500
Ativo;Gendry Cerwyn;000.000.153-00;24;37394;Lannisporto | Oeste;;14200;71000;Não;10;;Não;91500
Ativo;Jon Dayne;31900;20;38678;Braavos;Essos;9.300;35.000;Não;5;;Não;10500
Inativo;Renly Blackwood;000.000.106-00;20;18/12/2005;Solar do Entardecer;TERRAS DA TEMPESTADE;12900;R$ 26.500,00;Não;13;;Não;2000
Ativo;Davos  Baratheon;000.000.055-00;;36337;Winterfell;Norte;22500;55500;Não;32;;Não;91500
Ativo;Bronn Crakehall;29500;68;16/09/1957;Atalaia da Água Cinzenta;GARGALO;3600 moedas;64500;Sim;32;;Sim;35500
Ativo;Jorah Marbrand;000.000.339-00;53;16/09/1972;Pedra do Dragão;TERRAS DA COROA;15500;;Não;16;;Não;41000
Ativo;Cersei Umber;000.000.058-00;62;;Jardim de Cima;Campina;1900;3500;Não;19;;Não;62000
Ativo;petyr yronwood;000.000.095-00;61;10/08/1965;Ilha dos Ursos;NORTE;7000;1500;Sim;32;;Sim;53000
Ativo;Robert Westerling;000.000.105-00;25;37118;Jardim de Cima;Campina;27300 moedas;1500;1;33;;1;14000
ativo;Jon Tarth;000.000.208-00;52;27088;Ponta Tempestade;Terras Da Tempestade;24900;0;Não;24 batalhas;;Não;16000
Inativo;Jaime Seaworth;000.000.263-00;33;33989;Porto Real;TERRAS DA COROA;23400;59000;sim;35;;sim;39000
Inativo;Jorah  Tyrell;000.000.229-00;48;28737;Porto Real;Terras da Coroa;12400;0;Não;25;;Não;65500
Inativo;Eddard Stark;000.000.015-00;55;28/07/1971;Ninho da Águia;VALE;29700 moedas;78000 moedas;Sim;14;;Sim;27000
Ativo;Lyanna Tarly;000.000.232-00;28;;Braavos;Essos;14500;39500;Não;18;;Não;32000
Ativo;Cersei Tarth;000.000.147-00;52;14/09/1973;Ilha dos Ursos;Norte;7300;74000 moedas;Não;40;;Não;34500
Ativo;Catelyn Mallister;000.000.062-00;63;26/12/1962;Castelo Negro | Norte;;11200;;;41;;;83500
Ativo;Brienne Mallister;000.000.202-00;53;25/06/1973;Ilha dos Ursos | Norte;;9500;66.500;Sim;38;;Sim;42500
Ativo;Stannis Crakehall;000.000.351-00;71;20275;Lannisporto;Oeste;14200;51000;Não;10;;Não;90500
Ativo;Jorah Marbrand;000.000.168-00;37;32414;Pedra do Dragão | Terras da Coroa;;12800;76500;Não;30 batalhas;;Não;95000
Ativo;Sansa Dondarrion;000.000.101-00;22;37936;Ninho da Águia;vale;4.100;2000;Não;8;;Não;4000
Ativo;Beric  Karstark;000.000.172-00;37;32680;Braavos;Essos;28900;71000;Não;28;;Não;36500
Ativo;Bran Umber;13200;29;35334;Pyke;Ilhas de Ferro;19500;R$ 57.000,00;Não;12;;Não;20500
Ativo;Thoros Yronwood;000.000.104-00;51;27/01/1975;Dorne;Dorne;26000;47500;Não;45;;Não;60500
Inativo;Davos Umber;000.000.353-00;74;23/02/1952;Lannisporto;Oeste;24000;35000;Não;6 batalhas;;Não;29500
Ativo;Aegon Redwyne;000.000.347-00;19;39016;Pyke;ILHAS DE FERRO;14.900;17000;Não;20;;Não;29500
Inativo;Robert Mallister;32700;57;15/06/1969;Braavos;ESSOS;28600;R$ 73.500,00;Não;29;;Não;93500
Inativo;MARGAERY DONDARRION;19200;50;27833;Correrrio | Terras Fluviais;;16200;R$ 25.000,00;NÃO;26;;NÃO;65000
Ativo;Robert Hornwood;28500;41 anos;31115;Castelo Negro;Norte;23100;36000;Não;19;;Não;37500
Ativo;Roose Bolton;13700;73;25/11/1952;Atalaia da Água Cinzenta;Gargalo;18100;0;Não;36;;Não;89000
Ativoo;Jon Hornwood;33100;;36759;Dorne;Dorne;23200;54500;1;26;;1;75000
Ativo;Shae  Dayne;000.000.312-00;25;23/09/2000;Ninho da Águia;Vale;22100;30500;Não;28 batalhas;;Não;48000
ATIVO;Petyr Swyft;000.000.275-00;36;33117;Atalaia da Água Cinzenta;Gargalo;11600;78500;Não;1;;Não;42000
Inativo;Jaime Bracken;16600;35;33417;Jardim de Cima;campina;R$ 12.400,00;0;Não;3;;Não;83500
Ativo;Rhaegar Mormont;000.000.109-00;64;18/07/1962;Fosso Cailin;norte;12700;0;Não;21;;Não;50500
Ativo;Jorah Florent;000.000.204-00;49;28147;Porto Real;Terras Da Coroa;28400;38.500;Nao;26 batalhas;;Nao;51000
Ativo;Asha Blackwood;000.000.085-00;50;06/05/1976;Dorne;Dorne;16100;8.000;Sim;30;;Sim;27000
;Gilly Swyft;000.000.261-00;;11/11/1990;Braavos;Essos;29900;R$ 64.500,00;Não;34;;Não;48500
Ativo;Bran Frey;000.000.189-00;39;10/07/1987;Ilha dos Ursos | Norte;;8000;69.000;Não;15;;Não;39500
ATIVO;Rickon Targaryen;000.000.298-00;19;13/10/2006;Ilha dos Ursos;Norte;4000 moedas;29.500;Sim;13;;Sim;5000
Inativo;Jeor Marbrand;000.000.073-00;63;05/10/1962;Braavos;ESSOS;29000;R$ 36.500,00;Não;38;;Não;68000
Ativo;Lyanna Westerling;17900;44;09/02/1982;Porto Real;;6700;16500;Sim;38;;Sim;15500
ATIVO;Jon Tarth;000.000.004-00;26;36671;Ponta Tempestade;terras da tempestade;25000;1000;Não;16;;Não;10500
Ativo;RENLY STARK;25200;44;10/05/1982;Braavos;Essos;9600;66.000;;11;;;4500
Ativo;olenna hornwood;29900;46 anos;;Castelo Negro;Norte;21300;60500;;15;;;74500
Ativo;Aegon Blackwood;000.000.118-00;69;21054;Jardim de Cima;Campina;23.800;N/A;;26;;;89000
Ativo;Brienne Glover;000.000.355-00;67;21522;Solar do Entardecer;Terras Da Tempestade;11300;49500;Não;12;;Não;34500
Ativo;Ellaria Cerwyn;000.000.019-00;51 anos;15/12/1974;Dorne;Dorne;R$ 11.600,00;41000;Não;7 batalhas;;Não;67000
Ativo;Loras Lannister;000.000.302-00;49;03/11/1976;Pyke;Ilhas de Ferro;29800;54.500;Não;34;;Não;72000
Ativo;Beric Tyrell;000.000.103-00;20;28/08/2006;Fosso Cailin;Norte;18200;;Não;21;;Não;61500
Ativo;Thoros Crakehall;19300;74;17/05/1952;Porto Real;terras da coroa;20700;R$ 17.500,00;Não;35;;Não;68500
Inativo;Yara Tallhart;6400;57;25206;Correrrio;terras fluviais;3400;23500;Não;20;;Não;50500
Ativo;Missandei Florent;000.000.282-00;56;25671;Harrenhal;Terras Fluviais;28300;56000;Não;6;;Não;84500
Ativo;Catelyn  Dayne;000.000.213-00;68;21/11/1957;Ponta Tempestade;Terras da Tempestade;24500;16500;Não;22;;Não;34500
Inativo;LYANNA TARTH;000.000.345-00;73;;Castelo Negro;Norte;19900 moedas;47000;Não;19;;Não;20500
Ativo;Varys Lannister;000.000.367-00;67;08/11/1958;Pyke | Ilhas de Ferro;;21600 moedas;R$ 73.500,00;Sim;7;;Sim;24500
Ativo;Ellaria Targaryen;000.000.149-00;54;24/10/1971;Fosso Cailin;NORTE;18700;46000;Sim;4;;Sim;27500
Ativo;</t>
  </si>
  <si>
    <t>Status</t>
  </si>
  <si>
    <t>Nome</t>
  </si>
  <si>
    <t>CPF</t>
  </si>
  <si>
    <t>Idade</t>
  </si>
  <si>
    <t>Data_nascimento</t>
  </si>
  <si>
    <t>Cidade</t>
  </si>
  <si>
    <t>Região</t>
  </si>
  <si>
    <t>Renda_mensal</t>
  </si>
  <si>
    <t>credito_tomado</t>
  </si>
  <si>
    <t>flag_inadimplente</t>
  </si>
  <si>
    <t>qtde_batalhas</t>
  </si>
  <si>
    <t>nivel_risco</t>
  </si>
  <si>
    <t>análise_risco</t>
  </si>
  <si>
    <t>análise_credito</t>
  </si>
  <si>
    <t>valor_solicitado</t>
  </si>
  <si>
    <t>liberação_de_credito</t>
  </si>
  <si>
    <t>Ativo</t>
  </si>
  <si>
    <t>Aegn Baelish</t>
  </si>
  <si>
    <t>000.000.240-00</t>
  </si>
  <si>
    <t>25/06/1979</t>
  </si>
  <si>
    <t>Meereen</t>
  </si>
  <si>
    <t>Essos</t>
  </si>
  <si>
    <t>Não</t>
  </si>
  <si>
    <t>Aegn Blackwood</t>
  </si>
  <si>
    <t>000.000.118-00</t>
  </si>
  <si>
    <t>22/08/1957</t>
  </si>
  <si>
    <t>Jardim de Cima</t>
  </si>
  <si>
    <t>Campina</t>
  </si>
  <si>
    <t>Sim</t>
  </si>
  <si>
    <t>Aegn Bracken</t>
  </si>
  <si>
    <t>000.000.244-00</t>
  </si>
  <si>
    <t>27/09/1956</t>
  </si>
  <si>
    <t>Correrrio</t>
  </si>
  <si>
    <t>Terras Fluviais</t>
  </si>
  <si>
    <t>N/A</t>
  </si>
  <si>
    <t>Aegn Clegane</t>
  </si>
  <si>
    <t>000.000.000-30</t>
  </si>
  <si>
    <t>04/02/1990</t>
  </si>
  <si>
    <t>Inativo</t>
  </si>
  <si>
    <t>Aegn Flrent</t>
  </si>
  <si>
    <t>000.000.271-00</t>
  </si>
  <si>
    <t>23/11/1970</t>
  </si>
  <si>
    <t>Aegn Frey</t>
  </si>
  <si>
    <t>000.000.338-00</t>
  </si>
  <si>
    <t>18/11/1969</t>
  </si>
  <si>
    <t>Dorne</t>
  </si>
  <si>
    <t>Aegn Hrnwd</t>
  </si>
  <si>
    <t>000.000.171-00</t>
  </si>
  <si>
    <t>12/10/1980</t>
  </si>
  <si>
    <t>Solar do Entardecer</t>
  </si>
  <si>
    <t>Terras Da Tempestade</t>
  </si>
  <si>
    <t>Aegn Marbrand</t>
  </si>
  <si>
    <t>000.000.352-00</t>
  </si>
  <si>
    <t>25/02/1961</t>
  </si>
  <si>
    <t>Castelo Negro</t>
  </si>
  <si>
    <t>Norte</t>
  </si>
  <si>
    <t>Aegn Redwyne</t>
  </si>
  <si>
    <t>000.000.347-00</t>
  </si>
  <si>
    <t>26/10/2006</t>
  </si>
  <si>
    <t>Pyke</t>
  </si>
  <si>
    <t>Ilhas De Ferro</t>
  </si>
  <si>
    <t>Aegn Umber</t>
  </si>
  <si>
    <t>000.000.356-00</t>
  </si>
  <si>
    <t>07/04/1960</t>
  </si>
  <si>
    <t>Arya Bltn</t>
  </si>
  <si>
    <t>000.000.072-00</t>
  </si>
  <si>
    <t>05/08/1954</t>
  </si>
  <si>
    <t>Arya Marbrand</t>
  </si>
  <si>
    <t>000.000.133-00</t>
  </si>
  <si>
    <t>08/10/2001</t>
  </si>
  <si>
    <t>Ninho da Águia</t>
  </si>
  <si>
    <t>Vale</t>
  </si>
  <si>
    <t>Arya Redwyne</t>
  </si>
  <si>
    <t>000.000.333-00</t>
  </si>
  <si>
    <t>02/12/2004</t>
  </si>
  <si>
    <t>Asha Arryn</t>
  </si>
  <si>
    <t>000.000.122-00</t>
  </si>
  <si>
    <t>16/10/1976</t>
  </si>
  <si>
    <t>Asha Barathen</t>
  </si>
  <si>
    <t>000.000.195-00</t>
  </si>
  <si>
    <t>25/04/1956</t>
  </si>
  <si>
    <t>Braavos</t>
  </si>
  <si>
    <t>Asha Blackwd</t>
  </si>
  <si>
    <t>000.000.085-00</t>
  </si>
  <si>
    <t>05/06/1976</t>
  </si>
  <si>
    <t>Asha Bltn</t>
  </si>
  <si>
    <t>000.000.069-00</t>
  </si>
  <si>
    <t>15/07/1975</t>
  </si>
  <si>
    <t>Asha Hrnwd</t>
  </si>
  <si>
    <t>000.000.363-00</t>
  </si>
  <si>
    <t>24/06/1993</t>
  </si>
  <si>
    <t>Pedra do Dragão</t>
  </si>
  <si>
    <t>Terras da Coroa</t>
  </si>
  <si>
    <t>Asha Manderly</t>
  </si>
  <si>
    <t>000.000.357-00</t>
  </si>
  <si>
    <t>26/06/1997</t>
  </si>
  <si>
    <t>Ilha dos Ursos</t>
  </si>
  <si>
    <t>Asha Redwyne</t>
  </si>
  <si>
    <t>000.000.102-00</t>
  </si>
  <si>
    <t>25/07/1991</t>
  </si>
  <si>
    <t>Asha Tallhart</t>
  </si>
  <si>
    <t>000.000.006-00</t>
  </si>
  <si>
    <t>26/08/1967</t>
  </si>
  <si>
    <t>000.000.086-00</t>
  </si>
  <si>
    <t>27/04/1988</t>
  </si>
  <si>
    <t>Beric  Karstark</t>
  </si>
  <si>
    <t>000.000.172-00</t>
  </si>
  <si>
    <t>21/06/1989</t>
  </si>
  <si>
    <t>Beric Crakehall</t>
  </si>
  <si>
    <t>000.000.067-00</t>
  </si>
  <si>
    <t>20/06/1971</t>
  </si>
  <si>
    <t>Beric Manderly</t>
  </si>
  <si>
    <t>000.000.243-00</t>
  </si>
  <si>
    <t>28/08/2001</t>
  </si>
  <si>
    <t>Lannisport</t>
  </si>
  <si>
    <t>Westeros</t>
  </si>
  <si>
    <t>Beric Seawrth</t>
  </si>
  <si>
    <t>000.000.025-00</t>
  </si>
  <si>
    <t>17/03/1954</t>
  </si>
  <si>
    <t>Beric Tallhart</t>
  </si>
  <si>
    <t>000.000.000-48</t>
  </si>
  <si>
    <t>25/04/1993</t>
  </si>
  <si>
    <t>000.000.291-00</t>
  </si>
  <si>
    <t>28/12/1981</t>
  </si>
  <si>
    <t>Beric Tyrell</t>
  </si>
  <si>
    <t>000.000.242-00</t>
  </si>
  <si>
    <t>23/08/1960</t>
  </si>
  <si>
    <t>Vilavelha</t>
  </si>
  <si>
    <t>000.000.103-00</t>
  </si>
  <si>
    <t>28/08/2006</t>
  </si>
  <si>
    <t>Cole Foss</t>
  </si>
  <si>
    <t>Bran Bltn</t>
  </si>
  <si>
    <t>000.000.003-00</t>
  </si>
  <si>
    <t>13/06/2003</t>
  </si>
  <si>
    <t>Porto Real</t>
  </si>
  <si>
    <t>Bran Dayne</t>
  </si>
  <si>
    <t>000.000.288-00</t>
  </si>
  <si>
    <t>11/01/1977</t>
  </si>
  <si>
    <t>Bran Dndarrin</t>
  </si>
  <si>
    <t>000.000.049-00</t>
  </si>
  <si>
    <t>14/10/2007</t>
  </si>
  <si>
    <t>Bran Flrent</t>
  </si>
  <si>
    <t>000.000.218-00</t>
  </si>
  <si>
    <t>21/04/1964</t>
  </si>
  <si>
    <t>Bran Frey</t>
  </si>
  <si>
    <t>000.000.189-00</t>
  </si>
  <si>
    <t>07/10/1987</t>
  </si>
  <si>
    <t>000.000.000-42</t>
  </si>
  <si>
    <t>06/08/1992</t>
  </si>
  <si>
    <t xml:space="preserve"> Braavos</t>
  </si>
  <si>
    <t>Bran Karstark</t>
  </si>
  <si>
    <t>000.000.241-00</t>
  </si>
  <si>
    <t>12/07/2004</t>
  </si>
  <si>
    <t>Bran Tarly</t>
  </si>
  <si>
    <t>000.000.269-00</t>
  </si>
  <si>
    <t>05/06/1973</t>
  </si>
  <si>
    <t>Bran Umber</t>
  </si>
  <si>
    <t>000.000.132-00</t>
  </si>
  <si>
    <t>26/09/1996</t>
  </si>
  <si>
    <t>Bran Yrnwd</t>
  </si>
  <si>
    <t>000.000.057-00</t>
  </si>
  <si>
    <t>15/07/1984</t>
  </si>
  <si>
    <t>Brienne Dayne</t>
  </si>
  <si>
    <t>000.000.070-00</t>
  </si>
  <si>
    <t>22/11/1963</t>
  </si>
  <si>
    <t>Brienne Dndarrin</t>
  </si>
  <si>
    <t>000.000.256-00</t>
  </si>
  <si>
    <t>02/06/1987</t>
  </si>
  <si>
    <t>Brienne Glver</t>
  </si>
  <si>
    <t>000.000.355-00</t>
  </si>
  <si>
    <t>03/12/1958</t>
  </si>
  <si>
    <t>Brienne Karstark</t>
  </si>
  <si>
    <t>000.000.031-00</t>
  </si>
  <si>
    <t>01/10/2002</t>
  </si>
  <si>
    <t>Brienne Mallister</t>
  </si>
  <si>
    <t>000.000.202-00</t>
  </si>
  <si>
    <t>25/06/1973</t>
  </si>
  <si>
    <t>Brienne Manderly</t>
  </si>
  <si>
    <t>000.000.076-00</t>
  </si>
  <si>
    <t>02/04/1998</t>
  </si>
  <si>
    <t>000.000.140-00</t>
  </si>
  <si>
    <t>11/02/1997</t>
  </si>
  <si>
    <t>Brienne Reed</t>
  </si>
  <si>
    <t>000.000.306-00</t>
  </si>
  <si>
    <t>18/04/1958</t>
  </si>
  <si>
    <t>Brienne Ryce</t>
  </si>
  <si>
    <t>000.000.108-00</t>
  </si>
  <si>
    <t>20/12/1986</t>
  </si>
  <si>
    <t>Brienne Westerling</t>
  </si>
  <si>
    <t>000.000.379-00</t>
  </si>
  <si>
    <t>16/04/1967</t>
  </si>
  <si>
    <t>Atalaia da Água Cinzenta</t>
  </si>
  <si>
    <t>Gargalo</t>
  </si>
  <si>
    <t>Brnn Arryn</t>
  </si>
  <si>
    <t>000.000.016-00</t>
  </si>
  <si>
    <t>24/01/1982</t>
  </si>
  <si>
    <t>Brnn Barathen</t>
  </si>
  <si>
    <t>000.000.325-00</t>
  </si>
  <si>
    <t>17/11/1977</t>
  </si>
  <si>
    <t>Brnn Blackwd</t>
  </si>
  <si>
    <t>000.000.052-00</t>
  </si>
  <si>
    <t>24/12/1982</t>
  </si>
  <si>
    <t>Brnn Bltn</t>
  </si>
  <si>
    <t>000.000.143-00</t>
  </si>
  <si>
    <t>03/04/2000</t>
  </si>
  <si>
    <t>Harrenhal</t>
  </si>
  <si>
    <t>Brnn Crakehall</t>
  </si>
  <si>
    <t>000.000.295-00</t>
  </si>
  <si>
    <t>16/09/1957</t>
  </si>
  <si>
    <t>Brnn Dn Arrin</t>
  </si>
  <si>
    <t>000.000.000-36</t>
  </si>
  <si>
    <t xml:space="preserve"> Jardim de Cima</t>
  </si>
  <si>
    <t>Brnn Dndarrin</t>
  </si>
  <si>
    <t>000.000.036-00</t>
  </si>
  <si>
    <t>01/11/1977</t>
  </si>
  <si>
    <t>Brnn Mallister</t>
  </si>
  <si>
    <t>000.000.200-00</t>
  </si>
  <si>
    <t>Brnn Manderly</t>
  </si>
  <si>
    <t>000.000.074-00</t>
  </si>
  <si>
    <t>26/11/1956</t>
  </si>
  <si>
    <t>Brnn Ryce</t>
  </si>
  <si>
    <t>000.000.369-00</t>
  </si>
  <si>
    <t>05/07/1965</t>
  </si>
  <si>
    <t>Brnn Stark</t>
  </si>
  <si>
    <t>000.000.313-00</t>
  </si>
  <si>
    <t>25/04/1996</t>
  </si>
  <si>
    <t>Brnn Umber</t>
  </si>
  <si>
    <t>000.000.177-00</t>
  </si>
  <si>
    <t>17/05/1970</t>
  </si>
  <si>
    <t>Catelyn  Dayne</t>
  </si>
  <si>
    <t>000.000.213-00</t>
  </si>
  <si>
    <t>21/11/1957</t>
  </si>
  <si>
    <t>Ponta Tempestade</t>
  </si>
  <si>
    <t>Terras da Tempestade</t>
  </si>
  <si>
    <t>Catelyn Cerwyn</t>
  </si>
  <si>
    <t>000.000.308-00</t>
  </si>
  <si>
    <t>12/06/1965</t>
  </si>
  <si>
    <t>Catelyn Lannister</t>
  </si>
  <si>
    <t>000.000.110-00</t>
  </si>
  <si>
    <t>11/04/1993</t>
  </si>
  <si>
    <t>Catelyn Mallister</t>
  </si>
  <si>
    <t>000.000.062-00</t>
  </si>
  <si>
    <t>26/12/1962</t>
  </si>
  <si>
    <t>Catelyn Tarly</t>
  </si>
  <si>
    <t>000.000.163-00</t>
  </si>
  <si>
    <t>04/05/1999</t>
  </si>
  <si>
    <t>Catelyn Umber</t>
  </si>
  <si>
    <t>000.000.099-00</t>
  </si>
  <si>
    <t>07/01/1962</t>
  </si>
  <si>
    <t>Catelyn Westerling</t>
  </si>
  <si>
    <t>000.000.358-00</t>
  </si>
  <si>
    <t>01/03/1956</t>
  </si>
  <si>
    <t>Catelyn Yrnwd</t>
  </si>
  <si>
    <t>000.000.226-00</t>
  </si>
  <si>
    <t>24/01/1988</t>
  </si>
  <si>
    <t>Cersei  Marbrand</t>
  </si>
  <si>
    <t>000.000.158-00</t>
  </si>
  <si>
    <t>05/01/1969</t>
  </si>
  <si>
    <t>Cersei Clegane</t>
  </si>
  <si>
    <t>000.000.323-00</t>
  </si>
  <si>
    <t>03/01/2002</t>
  </si>
  <si>
    <t>Cersei Glver</t>
  </si>
  <si>
    <t>000.000.324-00</t>
  </si>
  <si>
    <t>06/10/1977</t>
  </si>
  <si>
    <t>Cersei Greyjy</t>
  </si>
  <si>
    <t>000.000.265-00</t>
  </si>
  <si>
    <t>17/12/1978</t>
  </si>
  <si>
    <t>Cersei Stark</t>
  </si>
  <si>
    <t>000.000.293-00</t>
  </si>
  <si>
    <t>19/07/2001</t>
  </si>
  <si>
    <t>sim</t>
  </si>
  <si>
    <t>Cersei Tarth</t>
  </si>
  <si>
    <t>000.000.147-00</t>
  </si>
  <si>
    <t>14/09/1973</t>
  </si>
  <si>
    <t>000.000.203-00</t>
  </si>
  <si>
    <t>25/07/1980</t>
  </si>
  <si>
    <t>Cersei Umber</t>
  </si>
  <si>
    <t>000.000.058-00</t>
  </si>
  <si>
    <t>Daari  Dayne</t>
  </si>
  <si>
    <t>000.000.144-00</t>
  </si>
  <si>
    <t>15/05/2001</t>
  </si>
  <si>
    <t>Daari Arryn</t>
  </si>
  <si>
    <t>000.000.173-00</t>
  </si>
  <si>
    <t>18/04/1963</t>
  </si>
  <si>
    <t>Daari Cerwyn</t>
  </si>
  <si>
    <t>000.000.175-00</t>
  </si>
  <si>
    <t>15/12/1965</t>
  </si>
  <si>
    <t>Daari Clegane</t>
  </si>
  <si>
    <t>000.000.270-00</t>
  </si>
  <si>
    <t>10/04/1992</t>
  </si>
  <si>
    <t>Daari Marbrand</t>
  </si>
  <si>
    <t>000.000.014-00</t>
  </si>
  <si>
    <t>15/09/1979</t>
  </si>
  <si>
    <t>Daari Tarly</t>
  </si>
  <si>
    <t>000.000.046-00</t>
  </si>
  <si>
    <t>23/06/1994</t>
  </si>
  <si>
    <t>Daari Tarth</t>
  </si>
  <si>
    <t>000.000.255-00</t>
  </si>
  <si>
    <t xml:space="preserve">14/08/1956 </t>
  </si>
  <si>
    <t>Daari Tyrell</t>
  </si>
  <si>
    <t>000.000.251-00</t>
  </si>
  <si>
    <t>14/12/1974</t>
  </si>
  <si>
    <t>Daari Yrnwd</t>
  </si>
  <si>
    <t>000.000.183-00</t>
  </si>
  <si>
    <t>18/03/1954</t>
  </si>
  <si>
    <t xml:space="preserve"> Porto Real</t>
  </si>
  <si>
    <t>Daenerys Seawrth</t>
  </si>
  <si>
    <t>000.000.341-00</t>
  </si>
  <si>
    <t>10/07/1971</t>
  </si>
  <si>
    <t>Daenerys Snw</t>
  </si>
  <si>
    <t>000.000.142-00</t>
  </si>
  <si>
    <t>07/10/1978</t>
  </si>
  <si>
    <t>Daenerys Tallhart</t>
  </si>
  <si>
    <t>000.000.092-00</t>
  </si>
  <si>
    <t>04/02/1989</t>
  </si>
  <si>
    <t>Davs  Barathen</t>
  </si>
  <si>
    <t>000.000.055-00</t>
  </si>
  <si>
    <t>26/06/1999</t>
  </si>
  <si>
    <t>Winterfell</t>
  </si>
  <si>
    <t>Davs Ryce</t>
  </si>
  <si>
    <t>000.000.000-33</t>
  </si>
  <si>
    <t>Ilhas de Ferro</t>
  </si>
  <si>
    <t>Davs Tyrell</t>
  </si>
  <si>
    <t>000.000.079-00</t>
  </si>
  <si>
    <t>25/12/1960</t>
  </si>
  <si>
    <t>000.000.161-00</t>
  </si>
  <si>
    <t>Davs Umber</t>
  </si>
  <si>
    <t>000.000.353-00</t>
  </si>
  <si>
    <t>23/02/1952</t>
  </si>
  <si>
    <t>Eddard Crakehall</t>
  </si>
  <si>
    <t>000.000.318-00</t>
  </si>
  <si>
    <t>16/03/1983</t>
  </si>
  <si>
    <t>Eddard Dayne</t>
  </si>
  <si>
    <t>000.000.032-00</t>
  </si>
  <si>
    <t>16/02/1995</t>
  </si>
  <si>
    <t>Eddard Greyjy</t>
  </si>
  <si>
    <t>000.000.238-00</t>
  </si>
  <si>
    <t>10/07/1970</t>
  </si>
  <si>
    <t>Eddard Mallister</t>
  </si>
  <si>
    <t>000.000.309-00</t>
  </si>
  <si>
    <t>08/11/1978</t>
  </si>
  <si>
    <t>Eddard Payne</t>
  </si>
  <si>
    <t>000.000.159-00</t>
  </si>
  <si>
    <t>09/08/1999</t>
  </si>
  <si>
    <t>Eddard Ryce</t>
  </si>
  <si>
    <t>000.000.181-00</t>
  </si>
  <si>
    <t>16/11/1952</t>
  </si>
  <si>
    <t>Eddard Stark</t>
  </si>
  <si>
    <t>000.000.015-00</t>
  </si>
  <si>
    <t>28/07/1971</t>
  </si>
  <si>
    <t>Eddard Westerling</t>
  </si>
  <si>
    <t>000.000.094-00</t>
  </si>
  <si>
    <t>06/06/1974</t>
  </si>
  <si>
    <t>Ellaria  Reed</t>
  </si>
  <si>
    <t>000.000.311-00</t>
  </si>
  <si>
    <t>17/02/1956</t>
  </si>
  <si>
    <t>Ellaria Baelish</t>
  </si>
  <si>
    <t>000.000.336-00</t>
  </si>
  <si>
    <t>13/01/1994</t>
  </si>
  <si>
    <t>Ellaria Bracken</t>
  </si>
  <si>
    <t>000.000.138-00</t>
  </si>
  <si>
    <t>09/02/1967</t>
  </si>
  <si>
    <t>Monte Chifre</t>
  </si>
  <si>
    <t>Ellaria Cerwyn</t>
  </si>
  <si>
    <t>000.000.019-00</t>
  </si>
  <si>
    <t>15/12/1974</t>
  </si>
  <si>
    <t>Ellaria Mallister</t>
  </si>
  <si>
    <t>000.000.194-00</t>
  </si>
  <si>
    <t>21/11/1987</t>
  </si>
  <si>
    <t>Ellaria Martell</t>
  </si>
  <si>
    <t>000.000.148-00</t>
  </si>
  <si>
    <t>02/07/1978</t>
  </si>
  <si>
    <t>Ellaria Mrmnt</t>
  </si>
  <si>
    <t>000.000.157-00</t>
  </si>
  <si>
    <t>10/10/2003</t>
  </si>
  <si>
    <t>Ellaria Redwyne</t>
  </si>
  <si>
    <t>000.000.093-00</t>
  </si>
  <si>
    <t>14/12/1969</t>
  </si>
  <si>
    <t>Ellaria Seawrth</t>
  </si>
  <si>
    <t>000.000.125-00</t>
  </si>
  <si>
    <t>06/01/2003</t>
  </si>
  <si>
    <t>Ellaria Swyft</t>
  </si>
  <si>
    <t>000.000.115-00</t>
  </si>
  <si>
    <t>25/04/1954</t>
  </si>
  <si>
    <t>Ellaria Targaryen</t>
  </si>
  <si>
    <t>000.000.149-00</t>
  </si>
  <si>
    <t>24/10/1971</t>
  </si>
  <si>
    <t>Ellaria Tarly</t>
  </si>
  <si>
    <t>000.000.026-00</t>
  </si>
  <si>
    <t>23/11/1958</t>
  </si>
  <si>
    <t>Ellaria Yrnwd</t>
  </si>
  <si>
    <t>000.000.176-00</t>
  </si>
  <si>
    <t>01/05/1953</t>
  </si>
  <si>
    <t>Gendry Cerwyn</t>
  </si>
  <si>
    <t>000.000.153-00</t>
  </si>
  <si>
    <t>18/05/2002</t>
  </si>
  <si>
    <t>Gendry Hightwer</t>
  </si>
  <si>
    <t>000.000.167-00</t>
  </si>
  <si>
    <t>11/11/1999</t>
  </si>
  <si>
    <t>Gilly Frey</t>
  </si>
  <si>
    <t>000.000.258-00</t>
  </si>
  <si>
    <t>07/04/1993</t>
  </si>
  <si>
    <t>Gilly Glver</t>
  </si>
  <si>
    <t>000.000.022-00</t>
  </si>
  <si>
    <t>03/01/1968</t>
  </si>
  <si>
    <t>Gilly Marbrand</t>
  </si>
  <si>
    <t>000.000.156-00</t>
  </si>
  <si>
    <t>14/09/1981</t>
  </si>
  <si>
    <t>Gilly Mrmnt</t>
  </si>
  <si>
    <t>000.000.220-00</t>
  </si>
  <si>
    <t>26/03/1961</t>
  </si>
  <si>
    <t>Gilly Swyft</t>
  </si>
  <si>
    <t>000.000.261-00</t>
  </si>
  <si>
    <t>11/11/1990</t>
  </si>
  <si>
    <t>Grey  Wrm  Greyjy</t>
  </si>
  <si>
    <t>000.000.182-00</t>
  </si>
  <si>
    <t>16/08/1968</t>
  </si>
  <si>
    <t>Grey Wrm Barathen</t>
  </si>
  <si>
    <t>000.000.221-00</t>
  </si>
  <si>
    <t>17/06/1997</t>
  </si>
  <si>
    <t>Grey Wrm Dndarrin</t>
  </si>
  <si>
    <t>000.000.233-00</t>
  </si>
  <si>
    <t>16/10/1987</t>
  </si>
  <si>
    <t>Grey Wrm Hrnwd</t>
  </si>
  <si>
    <t>000.000.322-00</t>
  </si>
  <si>
    <t>15/01/2000</t>
  </si>
  <si>
    <t>Grey Wrm Targaryen</t>
  </si>
  <si>
    <t>000.000.060-00</t>
  </si>
  <si>
    <t>18/07/1978</t>
  </si>
  <si>
    <t>000.000.084-00</t>
  </si>
  <si>
    <t>07/2.7/1988</t>
  </si>
  <si>
    <t>Jaime Bracken</t>
  </si>
  <si>
    <t>000.000.166-00</t>
  </si>
  <si>
    <t>28/06/1991</t>
  </si>
  <si>
    <t>Jaime Dndarrin</t>
  </si>
  <si>
    <t>000.000.056-00</t>
  </si>
  <si>
    <t>04/08/1991</t>
  </si>
  <si>
    <t>Jaime Seawrth</t>
  </si>
  <si>
    <t>000.000.371-00</t>
  </si>
  <si>
    <t>01/05/1958</t>
  </si>
  <si>
    <t>000.000.263-00</t>
  </si>
  <si>
    <t>20/01/1993</t>
  </si>
  <si>
    <t>Jer  Payne</t>
  </si>
  <si>
    <t>000.000.209-00</t>
  </si>
  <si>
    <t>21/02/1993</t>
  </si>
  <si>
    <t>Jer Baelish</t>
  </si>
  <si>
    <t>000.000.332-00</t>
  </si>
  <si>
    <t>05/03/1960</t>
  </si>
  <si>
    <t>Jer Clegane</t>
  </si>
  <si>
    <t>000.000.273-00</t>
  </si>
  <si>
    <t>19/11/1959</t>
  </si>
  <si>
    <t>Jer Flrent</t>
  </si>
  <si>
    <t>000.000.249-00</t>
  </si>
  <si>
    <t>08/06/1999</t>
  </si>
  <si>
    <t>Jer Karstark</t>
  </si>
  <si>
    <t>000.000.310-00</t>
  </si>
  <si>
    <t>03/09/2001</t>
  </si>
  <si>
    <t>Jer Lannister</t>
  </si>
  <si>
    <t>000.000.091-00</t>
  </si>
  <si>
    <t>26/09/1988</t>
  </si>
  <si>
    <t>Jer Mallister</t>
  </si>
  <si>
    <t>000.000.162-00</t>
  </si>
  <si>
    <t>28/07/1979</t>
  </si>
  <si>
    <t>Jer Marbrand</t>
  </si>
  <si>
    <t>000.000.073-00</t>
  </si>
  <si>
    <t>10/05/1962</t>
  </si>
  <si>
    <t>Jer Martell</t>
  </si>
  <si>
    <t>000.000.061-00</t>
  </si>
  <si>
    <t>09/11/1967</t>
  </si>
  <si>
    <t>Jjen Dayne</t>
  </si>
  <si>
    <t>000.000.199-00</t>
  </si>
  <si>
    <t>Jjen Flrent</t>
  </si>
  <si>
    <t>000.000.343-00</t>
  </si>
  <si>
    <t>10/10/1977</t>
  </si>
  <si>
    <t>000.000.321-00</t>
  </si>
  <si>
    <t>26/11/1993</t>
  </si>
  <si>
    <t>Jjen Hrnwd</t>
  </si>
  <si>
    <t>000.000.128-00</t>
  </si>
  <si>
    <t>15/10/1989</t>
  </si>
  <si>
    <t>Jjen Redwyne</t>
  </si>
  <si>
    <t>000.000.334-00</t>
  </si>
  <si>
    <t>23/08/2002</t>
  </si>
  <si>
    <t>Jjen Reed</t>
  </si>
  <si>
    <t>000.000.136-00</t>
  </si>
  <si>
    <t>19/09/1984</t>
  </si>
  <si>
    <t>Jn  Karstark</t>
  </si>
  <si>
    <t>000.000.139-00</t>
  </si>
  <si>
    <t>16/08/1971</t>
  </si>
  <si>
    <t>Jn Baelish</t>
  </si>
  <si>
    <t>000.000.214-00</t>
  </si>
  <si>
    <t>19/05/1959</t>
  </si>
  <si>
    <t>Jn Bltn</t>
  </si>
  <si>
    <t>000.000.130-00</t>
  </si>
  <si>
    <t>16/01/1961</t>
  </si>
  <si>
    <t>Jn Cerwyn</t>
  </si>
  <si>
    <t>000.000.112-00</t>
  </si>
  <si>
    <t>02/02/1961</t>
  </si>
  <si>
    <t>Jn Dayne</t>
  </si>
  <si>
    <t>000.000.319-00</t>
  </si>
  <si>
    <t>22/11/2005</t>
  </si>
  <si>
    <t>Jn Hightwer</t>
  </si>
  <si>
    <t>000.000.081-00</t>
  </si>
  <si>
    <t>12/09/1966</t>
  </si>
  <si>
    <t>Jn Hrnwd</t>
  </si>
  <si>
    <t>000.000.331-00</t>
  </si>
  <si>
    <t>21/08/2000</t>
  </si>
  <si>
    <t>Jn Marbrand</t>
  </si>
  <si>
    <t>000.000.359-00</t>
  </si>
  <si>
    <t>19/06/1997</t>
  </si>
  <si>
    <t>Jn Tarth</t>
  </si>
  <si>
    <t>000.000.208-00</t>
  </si>
  <si>
    <t>28/02/1974</t>
  </si>
  <si>
    <t>000.000.004-00</t>
  </si>
  <si>
    <t>25/05/2000</t>
  </si>
  <si>
    <t>Jrah  Tyrell</t>
  </si>
  <si>
    <t>000.000.229-00</t>
  </si>
  <si>
    <t>04/09/1978</t>
  </si>
  <si>
    <t>Jrah Dndarrin</t>
  </si>
  <si>
    <t>000.000.210-00</t>
  </si>
  <si>
    <t>25/05/1963</t>
  </si>
  <si>
    <t>000.000.294-00</t>
  </si>
  <si>
    <t>10/08/1986</t>
  </si>
  <si>
    <t>Jrah Flrent</t>
  </si>
  <si>
    <t>000.000.204-00</t>
  </si>
  <si>
    <t>22/01/1977</t>
  </si>
  <si>
    <t>Jrah Hightwer</t>
  </si>
  <si>
    <t>000.000.007-00</t>
  </si>
  <si>
    <t>28/04/1982</t>
  </si>
  <si>
    <t>000.000.346-00</t>
  </si>
  <si>
    <t>09/05/1963</t>
  </si>
  <si>
    <t>Jrah Marbrand</t>
  </si>
  <si>
    <t>000.000.168-00</t>
  </si>
  <si>
    <t>28/09/1988</t>
  </si>
  <si>
    <t>000.000.339-00</t>
  </si>
  <si>
    <t>16/09/1972</t>
  </si>
  <si>
    <t>Jrah Redwyne</t>
  </si>
  <si>
    <t>000.000.165-00</t>
  </si>
  <si>
    <t>05/01/1989</t>
  </si>
  <si>
    <t>000.000.040-00</t>
  </si>
  <si>
    <t>22/06/1978</t>
  </si>
  <si>
    <t>Jrah Seawrth</t>
  </si>
  <si>
    <t>000.000.207-00</t>
  </si>
  <si>
    <t>Len Arryn</t>
  </si>
  <si>
    <t>000.000.096-00</t>
  </si>
  <si>
    <t>24/07/1977</t>
  </si>
  <si>
    <t>Len Baelish</t>
  </si>
  <si>
    <t>000.000.191-00</t>
  </si>
  <si>
    <t>06/06/1978</t>
  </si>
  <si>
    <t>Len Bracken</t>
  </si>
  <si>
    <t>000.000.225-00</t>
  </si>
  <si>
    <t>01/12/1981</t>
  </si>
  <si>
    <t>Len Hrnwd</t>
  </si>
  <si>
    <t>000.000.299-00</t>
  </si>
  <si>
    <t>Len Reed</t>
  </si>
  <si>
    <t>000.000.248-00</t>
  </si>
  <si>
    <t>27/12/1985</t>
  </si>
  <si>
    <t>Lras  Tarth</t>
  </si>
  <si>
    <t>000.000.286-00</t>
  </si>
  <si>
    <t>01/05/1983</t>
  </si>
  <si>
    <t>Lras Baelish</t>
  </si>
  <si>
    <t>000.000.217-00</t>
  </si>
  <si>
    <t>20/01/1958</t>
  </si>
  <si>
    <t>Lras Bracken</t>
  </si>
  <si>
    <t>000.000.254-00</t>
  </si>
  <si>
    <t>21/04/1975</t>
  </si>
  <si>
    <t>Lras Clegane</t>
  </si>
  <si>
    <t>000.000.287-00</t>
  </si>
  <si>
    <t>14/03/1968</t>
  </si>
  <si>
    <t>Lras Frey</t>
  </si>
  <si>
    <t>000.000.017-00</t>
  </si>
  <si>
    <t>28/05/1996</t>
  </si>
  <si>
    <t>Lras Greyjy</t>
  </si>
  <si>
    <t>000.000.362-00</t>
  </si>
  <si>
    <t>Lras Lannister</t>
  </si>
  <si>
    <t>000.000.302-00</t>
  </si>
  <si>
    <t>11/03/1976</t>
  </si>
  <si>
    <t>Lras Manderly</t>
  </si>
  <si>
    <t>000.000.278-00</t>
  </si>
  <si>
    <t>10/01/1988</t>
  </si>
  <si>
    <t>Lras Payne</t>
  </si>
  <si>
    <t>000.000.027-00</t>
  </si>
  <si>
    <t>15/05/1996</t>
  </si>
  <si>
    <t>Lyan Flrent</t>
  </si>
  <si>
    <t>000.000.063-00</t>
  </si>
  <si>
    <t>Lyan Marbrand</t>
  </si>
  <si>
    <t>000.000.283-00</t>
  </si>
  <si>
    <t>28/05/1999</t>
  </si>
  <si>
    <t>Lyan Seawrth</t>
  </si>
  <si>
    <t>000.000.041-00</t>
  </si>
  <si>
    <t>Lyan Stark</t>
  </si>
  <si>
    <t>000.000.023-00</t>
  </si>
  <si>
    <t>02/07/1981</t>
  </si>
  <si>
    <t>Lyan Swyft</t>
  </si>
  <si>
    <t>000.000.180-00</t>
  </si>
  <si>
    <t>06/10/1996</t>
  </si>
  <si>
    <t>Lyan Tarly</t>
  </si>
  <si>
    <t>000.000.232-00</t>
  </si>
  <si>
    <t>Lyan Tarth</t>
  </si>
  <si>
    <t>000.000.345-00</t>
  </si>
  <si>
    <t>Lyan Westerling</t>
  </si>
  <si>
    <t>000.000.179-00</t>
  </si>
  <si>
    <t>02/09/1982</t>
  </si>
  <si>
    <t>Margaery  Hrnwd</t>
  </si>
  <si>
    <t>000.000.151-00</t>
  </si>
  <si>
    <t>22/08/2001</t>
  </si>
  <si>
    <t>Margaery Cerwyn</t>
  </si>
  <si>
    <t>000.000.211-00</t>
  </si>
  <si>
    <t>02/08/1995</t>
  </si>
  <si>
    <t>Margaery Dayne</t>
  </si>
  <si>
    <t>000.000.276-00</t>
  </si>
  <si>
    <t>10/10/1989</t>
  </si>
  <si>
    <t>Margaery Dndarrin</t>
  </si>
  <si>
    <t>000.000.192-00</t>
  </si>
  <si>
    <t>14/03/1976</t>
  </si>
  <si>
    <t>Margaery Manderly</t>
  </si>
  <si>
    <t>000.000.222-00</t>
  </si>
  <si>
    <t>08/08/1963</t>
  </si>
  <si>
    <t>Margaery Marbrand</t>
  </si>
  <si>
    <t>000.000.146-00</t>
  </si>
  <si>
    <t>02/04/2004</t>
  </si>
  <si>
    <t>Margaery Redwyne</t>
  </si>
  <si>
    <t>000.000.018-00</t>
  </si>
  <si>
    <t>19/08/2000</t>
  </si>
  <si>
    <t>Margaery Tarly</t>
  </si>
  <si>
    <t>000.000.274-00</t>
  </si>
  <si>
    <t>21/01/1992</t>
  </si>
  <si>
    <t>Margaery Tyrell</t>
  </si>
  <si>
    <t>000.000.107-00</t>
  </si>
  <si>
    <t>05/05/1995</t>
  </si>
  <si>
    <t>Meera Lannister</t>
  </si>
  <si>
    <t>000.000.121-00</t>
  </si>
  <si>
    <t>11/01/1967</t>
  </si>
  <si>
    <t>Meera Payne</t>
  </si>
  <si>
    <t>000.000.131-00</t>
  </si>
  <si>
    <t>24/11/1962</t>
  </si>
  <si>
    <t>Meera Reed</t>
  </si>
  <si>
    <t>000.000.314-00</t>
  </si>
  <si>
    <t>10/12/1972</t>
  </si>
  <si>
    <t>Meera Tarly</t>
  </si>
  <si>
    <t>000.000.326-00</t>
  </si>
  <si>
    <t>23/06/1952</t>
  </si>
  <si>
    <t>Melisandre  Baelish</t>
  </si>
  <si>
    <t>000.000.152-00</t>
  </si>
  <si>
    <t>19/08/1957</t>
  </si>
  <si>
    <t>Melisandre Barathen</t>
  </si>
  <si>
    <t>000.000.020-00</t>
  </si>
  <si>
    <t>04/08/1968</t>
  </si>
  <si>
    <t>000.000.364-00</t>
  </si>
  <si>
    <t>Melisandre Blackwd</t>
  </si>
  <si>
    <t>000.000.051-00</t>
  </si>
  <si>
    <t>23/08/1986</t>
  </si>
  <si>
    <t>Melisandre Cerwyn</t>
  </si>
  <si>
    <t>000.000.120-00</t>
  </si>
  <si>
    <t>23/11/1996</t>
  </si>
  <si>
    <t>Melisandre Clegane</t>
  </si>
  <si>
    <t>000.000.231-00</t>
  </si>
  <si>
    <t>26/11/1972</t>
  </si>
  <si>
    <t>Melisandre Crakehall</t>
  </si>
  <si>
    <t>000.000.002-68</t>
  </si>
  <si>
    <t>24/12/1965</t>
  </si>
  <si>
    <t>000.000.260-00</t>
  </si>
  <si>
    <t>07/05/1995</t>
  </si>
  <si>
    <t>Melisandre Glver</t>
  </si>
  <si>
    <t>000.000.329-00</t>
  </si>
  <si>
    <t>08/05/2004</t>
  </si>
  <si>
    <t>Melisandre Targaryen</t>
  </si>
  <si>
    <t>000.000.170-00</t>
  </si>
  <si>
    <t>06/02/1995</t>
  </si>
  <si>
    <t>Missandei  Tarly</t>
  </si>
  <si>
    <t>000.000.196-00</t>
  </si>
  <si>
    <t>08/03/1968</t>
  </si>
  <si>
    <t>Missandei Arryn</t>
  </si>
  <si>
    <t>000.000.003-68</t>
  </si>
  <si>
    <t>01/12/1975</t>
  </si>
  <si>
    <t>Missandei Flrent</t>
  </si>
  <si>
    <t>000.000.282-00</t>
  </si>
  <si>
    <t>13/04/1970</t>
  </si>
  <si>
    <t>Missandei Glver</t>
  </si>
  <si>
    <t>000.000.340-00</t>
  </si>
  <si>
    <t>12/07/1987</t>
  </si>
  <si>
    <t>000.000.305-00</t>
  </si>
  <si>
    <t>24/09/1963</t>
  </si>
  <si>
    <t>Missandei Karstark</t>
  </si>
  <si>
    <t>000.000.044-00</t>
  </si>
  <si>
    <t>16/12/1983</t>
  </si>
  <si>
    <t>Missandei Redwyne</t>
  </si>
  <si>
    <t>000.000.111-00</t>
  </si>
  <si>
    <t>06/01/1979</t>
  </si>
  <si>
    <t>Missandei Tarly</t>
  </si>
  <si>
    <t>000.000.002-00</t>
  </si>
  <si>
    <t>20/11/1970</t>
  </si>
  <si>
    <t>Pdrick Blackwd</t>
  </si>
  <si>
    <t>000.000.083-00</t>
  </si>
  <si>
    <t>09/05/1995</t>
  </si>
  <si>
    <t>000.000.135-00</t>
  </si>
  <si>
    <t>18/03/1994</t>
  </si>
  <si>
    <t>Pdrick Dayne</t>
  </si>
  <si>
    <t>000.000.223-00</t>
  </si>
  <si>
    <t>11/01/2000</t>
  </si>
  <si>
    <t>Pdrick Flrent</t>
  </si>
  <si>
    <t>000.000.354-00</t>
  </si>
  <si>
    <t>10/06/1965</t>
  </si>
  <si>
    <t>Pdrick Stark</t>
  </si>
  <si>
    <t>000.000.000-29</t>
  </si>
  <si>
    <t>15/0.2/1986</t>
  </si>
  <si>
    <t>Pdrick Swyft</t>
  </si>
  <si>
    <t>000.000.090-00</t>
  </si>
  <si>
    <t>05/03/1994</t>
  </si>
  <si>
    <t>Pdrick Targaryen</t>
  </si>
  <si>
    <t>000.000.050-00</t>
  </si>
  <si>
    <t>12/04/1987</t>
  </si>
  <si>
    <t>Pdrick Umber</t>
  </si>
  <si>
    <t>000.000.053-00</t>
  </si>
  <si>
    <t>10/01/1970</t>
  </si>
  <si>
    <t>Petyr Greyjy</t>
  </si>
  <si>
    <t>000.000.301-00</t>
  </si>
  <si>
    <t>04/08/1984</t>
  </si>
  <si>
    <t>Petyr Karstark</t>
  </si>
  <si>
    <t>000.000.237-00</t>
  </si>
  <si>
    <t>28/08/1952</t>
  </si>
  <si>
    <t>Petyr Mallister</t>
  </si>
  <si>
    <t>000.000.116-00</t>
  </si>
  <si>
    <t>17/01/1990</t>
  </si>
  <si>
    <t>Petyr Snw</t>
  </si>
  <si>
    <t>000.000.219-00</t>
  </si>
  <si>
    <t>10/03/1959</t>
  </si>
  <si>
    <t>Petyr Swyft</t>
  </si>
  <si>
    <t>000.000.275-00</t>
  </si>
  <si>
    <t>01/09/1990</t>
  </si>
  <si>
    <t>Petyr Yrnwd</t>
  </si>
  <si>
    <t>000.000.095-00</t>
  </si>
  <si>
    <t>08/10/1965</t>
  </si>
  <si>
    <t>Ramsay Blackwd</t>
  </si>
  <si>
    <t>000.000.000-35</t>
  </si>
  <si>
    <t>07/04/1974</t>
  </si>
  <si>
    <t>Ramsay Dayne</t>
  </si>
  <si>
    <t>000.000.224-00</t>
  </si>
  <si>
    <t>19/06/1971</t>
  </si>
  <si>
    <t>Ramsay Dndarrin</t>
  </si>
  <si>
    <t>000.000.054-00</t>
  </si>
  <si>
    <t>02/11/1970</t>
  </si>
  <si>
    <t>Ramsay Hrnwd</t>
  </si>
  <si>
    <t>000.000.005-00</t>
  </si>
  <si>
    <t>16/11/1960</t>
  </si>
  <si>
    <t>Ramsay Karstark</t>
  </si>
  <si>
    <t>000.000.185-00</t>
  </si>
  <si>
    <t>05/12/1991</t>
  </si>
  <si>
    <t>Ramsay Stark</t>
  </si>
  <si>
    <t>000.000.169-00</t>
  </si>
  <si>
    <t>12/03/1965</t>
  </si>
  <si>
    <t>Ramsay Tarly</t>
  </si>
  <si>
    <t>000.000.098-00</t>
  </si>
  <si>
    <t>21/07/1991</t>
  </si>
  <si>
    <t>Rbb Barathen</t>
  </si>
  <si>
    <t>000.000.365-00</t>
  </si>
  <si>
    <t>24/03/1972</t>
  </si>
  <si>
    <t>Rbb Clegane</t>
  </si>
  <si>
    <t>000.000.304-00</t>
  </si>
  <si>
    <t>13/09/2007</t>
  </si>
  <si>
    <t>Rbb Greyjy</t>
  </si>
  <si>
    <t>000.000.227-00</t>
  </si>
  <si>
    <t>14/06/2001</t>
  </si>
  <si>
    <t>Rbb Reed</t>
  </si>
  <si>
    <t>000.000.246-00</t>
  </si>
  <si>
    <t>Rbb Stark</t>
  </si>
  <si>
    <t>000.000.228-00</t>
  </si>
  <si>
    <t>08/12/1961</t>
  </si>
  <si>
    <t>Rbert Cerwyn</t>
  </si>
  <si>
    <t>000.000.300-00</t>
  </si>
  <si>
    <t>19/01/1978</t>
  </si>
  <si>
    <t>Rbert Hrnwd</t>
  </si>
  <si>
    <t>000.000.259-00</t>
  </si>
  <si>
    <t>04/01/1953</t>
  </si>
  <si>
    <t>000.000.285-00</t>
  </si>
  <si>
    <t>09/03/1985</t>
  </si>
  <si>
    <t>Rbert Karstark</t>
  </si>
  <si>
    <t>000.000.184-00</t>
  </si>
  <si>
    <t>12/07/1958</t>
  </si>
  <si>
    <t>Rbert Mallister</t>
  </si>
  <si>
    <t>000.000.037-00</t>
  </si>
  <si>
    <t>25/10/2000</t>
  </si>
  <si>
    <t>000.000.327-00</t>
  </si>
  <si>
    <t>15/06/1969</t>
  </si>
  <si>
    <t>Rbert Manderly</t>
  </si>
  <si>
    <t>000.000.230-00</t>
  </si>
  <si>
    <t>21/03/1973</t>
  </si>
  <si>
    <t>Rbert Payne</t>
  </si>
  <si>
    <t>000.000.000-68</t>
  </si>
  <si>
    <t>11/05/1968</t>
  </si>
  <si>
    <t>Rbert Stark</t>
  </si>
  <si>
    <t>000.000.315-00</t>
  </si>
  <si>
    <t>27/05/1969</t>
  </si>
  <si>
    <t>Rbert Tarth</t>
  </si>
  <si>
    <t>000.000.001-00</t>
  </si>
  <si>
    <t>05/08/1999</t>
  </si>
  <si>
    <t>Rbert Westerling</t>
  </si>
  <si>
    <t>000.000.105-00</t>
  </si>
  <si>
    <t>15/08/2001</t>
  </si>
  <si>
    <t>Rbert Yrnwd</t>
  </si>
  <si>
    <t>000.000.075-00</t>
  </si>
  <si>
    <t>15/03/1959</t>
  </si>
  <si>
    <t>Renly Blackwd</t>
  </si>
  <si>
    <t>000.000.106-00</t>
  </si>
  <si>
    <t>18/12/2005</t>
  </si>
  <si>
    <t>Renly Bltn</t>
  </si>
  <si>
    <t>000.000.206-00</t>
  </si>
  <si>
    <t>22/05/1971</t>
  </si>
  <si>
    <t>000.000.303-00</t>
  </si>
  <si>
    <t>Renly Dayne</t>
  </si>
  <si>
    <t>000.000.065-00</t>
  </si>
  <si>
    <t>09/11/1953</t>
  </si>
  <si>
    <t>Renly Mallister</t>
  </si>
  <si>
    <t>000.000.372-00</t>
  </si>
  <si>
    <t>14/10/1991</t>
  </si>
  <si>
    <t>Renly Mrmnt</t>
  </si>
  <si>
    <t>000.000.376-00</t>
  </si>
  <si>
    <t>27/12/1968</t>
  </si>
  <si>
    <t>Renly Redwyne</t>
  </si>
  <si>
    <t>000.000.045-00</t>
  </si>
  <si>
    <t>02/08/1960</t>
  </si>
  <si>
    <t>Renly Seawrth</t>
  </si>
  <si>
    <t>000.000.350-00</t>
  </si>
  <si>
    <t>17/09/2007</t>
  </si>
  <si>
    <t>Renly Stark</t>
  </si>
  <si>
    <t>000.000.252-00</t>
  </si>
  <si>
    <t>05/10/1982</t>
  </si>
  <si>
    <t>Renly Tallhart</t>
  </si>
  <si>
    <t>000.000.117-00</t>
  </si>
  <si>
    <t>22/12/1998</t>
  </si>
  <si>
    <t>Rhaegar Dayne</t>
  </si>
  <si>
    <t>000.000.335-00</t>
  </si>
  <si>
    <t>12/03/1991</t>
  </si>
  <si>
    <t>Rhaegar Hrnwd</t>
  </si>
  <si>
    <t>000.000.178-00</t>
  </si>
  <si>
    <t>14/02/1996</t>
  </si>
  <si>
    <t>Rhaegar Lannister</t>
  </si>
  <si>
    <t>000.000.370-00</t>
  </si>
  <si>
    <t>02/03/2002</t>
  </si>
  <si>
    <t>Rhaegar Mrmnt</t>
  </si>
  <si>
    <t>000.000.109-00</t>
  </si>
  <si>
    <t>18/07/1962</t>
  </si>
  <si>
    <t>Rhaegar Payne</t>
  </si>
  <si>
    <t>000.000.253-00</t>
  </si>
  <si>
    <t>14/06/1966</t>
  </si>
  <si>
    <t>Rhaegar Stark</t>
  </si>
  <si>
    <t>000.000.119-00</t>
  </si>
  <si>
    <t>23/04/1993</t>
  </si>
  <si>
    <t>Rhaegar Tallhart</t>
  </si>
  <si>
    <t>000.000.348-00</t>
  </si>
  <si>
    <t>11/03/2000</t>
  </si>
  <si>
    <t>Rhaegar Targaryen</t>
  </si>
  <si>
    <t>000.000.342-00</t>
  </si>
  <si>
    <t>19/01/1975</t>
  </si>
  <si>
    <t>Rhaegar Umber</t>
  </si>
  <si>
    <t>000.000.247-00</t>
  </si>
  <si>
    <t>18/05/2007</t>
  </si>
  <si>
    <t>Rickn Crakehall</t>
  </si>
  <si>
    <t>000.000.066-00</t>
  </si>
  <si>
    <t>28/06/2002</t>
  </si>
  <si>
    <t>Rickn Frey</t>
  </si>
  <si>
    <t>000.000.013-00</t>
  </si>
  <si>
    <t>05/04/1966</t>
  </si>
  <si>
    <t>Rickn Hrnwd</t>
  </si>
  <si>
    <t>000.000.000-78</t>
  </si>
  <si>
    <t>09/03/1991</t>
  </si>
  <si>
    <t>Rickn Karstark</t>
  </si>
  <si>
    <t>000.000.360-00</t>
  </si>
  <si>
    <t>17/02/2000</t>
  </si>
  <si>
    <t>000.000.088-00</t>
  </si>
  <si>
    <t>07/05/1952</t>
  </si>
  <si>
    <t>000.000.089-00</t>
  </si>
  <si>
    <t>23/08/1991</t>
  </si>
  <si>
    <t>Rickn Lannister</t>
  </si>
  <si>
    <t>000.000.197-00</t>
  </si>
  <si>
    <t>22/08/1973</t>
  </si>
  <si>
    <t>Rickn Redwyne</t>
  </si>
  <si>
    <t>000.000.150-00</t>
  </si>
  <si>
    <t>17/08/1953</t>
  </si>
  <si>
    <t>Rickn Targaryen</t>
  </si>
  <si>
    <t>000.000.298-00</t>
  </si>
  <si>
    <t>13/10/2006</t>
  </si>
  <si>
    <t>Rse Baelish</t>
  </si>
  <si>
    <t>000.000.003-66</t>
  </si>
  <si>
    <t>02/06/1998</t>
  </si>
  <si>
    <t>Rse Bltn</t>
  </si>
  <si>
    <t>000.000.137-00</t>
  </si>
  <si>
    <t>25/11/1952</t>
  </si>
  <si>
    <t>Rse Bracken</t>
  </si>
  <si>
    <t>000.000.188-00</t>
  </si>
  <si>
    <t>08/02/1983</t>
  </si>
  <si>
    <t>Rse Cerwyn</t>
  </si>
  <si>
    <t>000.000.047-00</t>
  </si>
  <si>
    <t>14/03/1963</t>
  </si>
  <si>
    <t>000.000.349-00</t>
  </si>
  <si>
    <t>22/02/1994</t>
  </si>
  <si>
    <t>Rse Dndarrin</t>
  </si>
  <si>
    <t>000.000.126-00</t>
  </si>
  <si>
    <t>17/11/1972</t>
  </si>
  <si>
    <t>Rse Frey</t>
  </si>
  <si>
    <t>000.000.002-92</t>
  </si>
  <si>
    <t>13/12/1963</t>
  </si>
  <si>
    <t>Rse Manderly</t>
  </si>
  <si>
    <t>000.000.154-00</t>
  </si>
  <si>
    <t>22/11/1983</t>
  </si>
  <si>
    <t>Samwell Glver</t>
  </si>
  <si>
    <t>000.000.160-00</t>
  </si>
  <si>
    <t>11/01/1952</t>
  </si>
  <si>
    <t>Samwell Yrnwd</t>
  </si>
  <si>
    <t>000.000.124-00</t>
  </si>
  <si>
    <t>15/09/1996</t>
  </si>
  <si>
    <t>Sandr Clegane</t>
  </si>
  <si>
    <t>000.000.164-00</t>
  </si>
  <si>
    <t>02/11/1963</t>
  </si>
  <si>
    <t>Sandr Dndarrin</t>
  </si>
  <si>
    <t>000.000.082-00</t>
  </si>
  <si>
    <t>26/06/2006</t>
  </si>
  <si>
    <t>Sandr Westerling</t>
  </si>
  <si>
    <t>000.000.337-00</t>
  </si>
  <si>
    <t>04/08/1982</t>
  </si>
  <si>
    <t>000.000.008-00</t>
  </si>
  <si>
    <t>10/03/1954</t>
  </si>
  <si>
    <t>Sansa Clegane</t>
  </si>
  <si>
    <t>000.000.174-00</t>
  </si>
  <si>
    <t>01/05/1959</t>
  </si>
  <si>
    <t xml:space="preserve"> Ponta Tempestade</t>
  </si>
  <si>
    <t>Sansa Dndarrin</t>
  </si>
  <si>
    <t>000.000.101-00</t>
  </si>
  <si>
    <t>11/11/2003</t>
  </si>
  <si>
    <t>Shae  Dayne</t>
  </si>
  <si>
    <t>000.000.312-00</t>
  </si>
  <si>
    <t>23/09/2000</t>
  </si>
  <si>
    <t>Shae Blackwd</t>
  </si>
  <si>
    <t>000.000.145-00</t>
  </si>
  <si>
    <t xml:space="preserve">18/07/1962 </t>
  </si>
  <si>
    <t>Shae Clegane</t>
  </si>
  <si>
    <t>000.000.205-00</t>
  </si>
  <si>
    <t>05/07/1986</t>
  </si>
  <si>
    <t>Shae Frey</t>
  </si>
  <si>
    <t>000.000.127-00</t>
  </si>
  <si>
    <t>24/12/1999</t>
  </si>
  <si>
    <t>Shae Mrmnt</t>
  </si>
  <si>
    <t>000.000.114-00</t>
  </si>
  <si>
    <t>21/09/1953</t>
  </si>
  <si>
    <t>000.000.307-00</t>
  </si>
  <si>
    <t>09/11/1962</t>
  </si>
  <si>
    <t>Shae Seawrth</t>
  </si>
  <si>
    <t>000.000.030-00</t>
  </si>
  <si>
    <t>27/02/1993</t>
  </si>
  <si>
    <t>Shae Tarly</t>
  </si>
  <si>
    <t>000.000.235-00</t>
  </si>
  <si>
    <t>25/10/1992</t>
  </si>
  <si>
    <t>Stannis  Cerwyn</t>
  </si>
  <si>
    <t>000.000.034-00</t>
  </si>
  <si>
    <t>27/11/1990</t>
  </si>
  <si>
    <t>Stannis Crakehall</t>
  </si>
  <si>
    <t>000.000.351-00</t>
  </si>
  <si>
    <t>05/07/1955</t>
  </si>
  <si>
    <t>Stannis Greyjy</t>
  </si>
  <si>
    <t>000.000.236-00</t>
  </si>
  <si>
    <t>05/03/1957</t>
  </si>
  <si>
    <t>Stannis Lannister</t>
  </si>
  <si>
    <t>000.000.361-00</t>
  </si>
  <si>
    <t>26/02/2002</t>
  </si>
  <si>
    <t>Stannis Redwyne</t>
  </si>
  <si>
    <t>000.000.216-00</t>
  </si>
  <si>
    <t>19/08/1992</t>
  </si>
  <si>
    <t>Stannis Seawrth</t>
  </si>
  <si>
    <t>000.000.316-00</t>
  </si>
  <si>
    <t>28/08/1962</t>
  </si>
  <si>
    <t>Stannis Wwesterosrling</t>
  </si>
  <si>
    <t>000.000.071-00</t>
  </si>
  <si>
    <t>03/11/1995</t>
  </si>
  <si>
    <t>Stark</t>
  </si>
  <si>
    <t>000.000.021-00</t>
  </si>
  <si>
    <t>.22/2.0/1980</t>
  </si>
  <si>
    <t>Then Baelish</t>
  </si>
  <si>
    <t>000.000.380-00</t>
  </si>
  <si>
    <t>10/02/1990</t>
  </si>
  <si>
    <t>Then Barathen</t>
  </si>
  <si>
    <t>000.000.375-00</t>
  </si>
  <si>
    <t>06/04/2000</t>
  </si>
  <si>
    <t>Then Frey</t>
  </si>
  <si>
    <t>000.000.123-00</t>
  </si>
  <si>
    <t>05/07/2007</t>
  </si>
  <si>
    <t>Then Karstark</t>
  </si>
  <si>
    <t>000.000.296-00</t>
  </si>
  <si>
    <t>08/04/1955</t>
  </si>
  <si>
    <t>Then Tarth</t>
  </si>
  <si>
    <t>000.000.289-00</t>
  </si>
  <si>
    <t>20/03/1952</t>
  </si>
  <si>
    <t>Thrs  Baelish</t>
  </si>
  <si>
    <t>000.000.011-00</t>
  </si>
  <si>
    <t>28/05/1973</t>
  </si>
  <si>
    <t>Thrs  Frey</t>
  </si>
  <si>
    <t>000.000.113-00</t>
  </si>
  <si>
    <t>03/10/1970</t>
  </si>
  <si>
    <t>Thrs Clegane</t>
  </si>
  <si>
    <t>000.000.141-00</t>
  </si>
  <si>
    <t>17/07/1998</t>
  </si>
  <si>
    <t>Thrs Crakehall</t>
  </si>
  <si>
    <t>000.000.193-00</t>
  </si>
  <si>
    <t>17/05/1952</t>
  </si>
  <si>
    <t>Thrs Greyjy</t>
  </si>
  <si>
    <t>000.000.043-00</t>
  </si>
  <si>
    <t>05/06/1999</t>
  </si>
  <si>
    <t>000.000.374-00</t>
  </si>
  <si>
    <t>23/01/1959</t>
  </si>
  <si>
    <t>Thrs Hrnwd</t>
  </si>
  <si>
    <t>000.000.245-00</t>
  </si>
  <si>
    <t>16/10/1960</t>
  </si>
  <si>
    <t>000.000.002-45</t>
  </si>
  <si>
    <t>22/01/1900</t>
  </si>
  <si>
    <t>Thrs Karstark</t>
  </si>
  <si>
    <t>000.000.012-00</t>
  </si>
  <si>
    <t>28/11/1972</t>
  </si>
  <si>
    <t>Thrs Payne</t>
  </si>
  <si>
    <t>000.000.077-00</t>
  </si>
  <si>
    <t>17/10/1985</t>
  </si>
  <si>
    <t>Thrs Tarth</t>
  </si>
  <si>
    <t>000.000.239-00</t>
  </si>
  <si>
    <t>24/11/1986</t>
  </si>
  <si>
    <t>000.000.280-00</t>
  </si>
  <si>
    <t>19/04/1985</t>
  </si>
  <si>
    <t>Thrs Westerling</t>
  </si>
  <si>
    <t>000.000.257-00</t>
  </si>
  <si>
    <t>23/12/1998</t>
  </si>
  <si>
    <t>Thrs Yrnwd</t>
  </si>
  <si>
    <t>000.000.201-00</t>
  </si>
  <si>
    <t>23/12/1970</t>
  </si>
  <si>
    <t>000.000.104-00</t>
  </si>
  <si>
    <t>27/01/1975</t>
  </si>
  <si>
    <t>Trmund  Cerwyn</t>
  </si>
  <si>
    <t>000.000.039-00</t>
  </si>
  <si>
    <t>27/06/1993</t>
  </si>
  <si>
    <t>Trmund Glver</t>
  </si>
  <si>
    <t>000.000.087-00</t>
  </si>
  <si>
    <t>14/12/1962</t>
  </si>
  <si>
    <t>Trmund Greyjy</t>
  </si>
  <si>
    <t>000.000.009-00</t>
  </si>
  <si>
    <t>04/02/1968</t>
  </si>
  <si>
    <t>Trmund Karstark</t>
  </si>
  <si>
    <t>000.000.284-00</t>
  </si>
  <si>
    <t>12/12/1983</t>
  </si>
  <si>
    <t>Trmund Ryce</t>
  </si>
  <si>
    <t>000.000.297-00</t>
  </si>
  <si>
    <t>08/11/1970</t>
  </si>
  <si>
    <t>Trmund Tyrell</t>
  </si>
  <si>
    <t>000.000.378-00</t>
  </si>
  <si>
    <t>22/05/1992</t>
  </si>
  <si>
    <t>Trmund Yrnwd</t>
  </si>
  <si>
    <t>000.000.187-00</t>
  </si>
  <si>
    <t>14/07/1987</t>
  </si>
  <si>
    <t>Tyrin Blackwd</t>
  </si>
  <si>
    <t>000.000.100-00</t>
  </si>
  <si>
    <t>05/04/1959</t>
  </si>
  <si>
    <t>Tyrin Clegane</t>
  </si>
  <si>
    <t>000.000.281-00</t>
  </si>
  <si>
    <t>Tyrin Karstark</t>
  </si>
  <si>
    <t>000.000.038-00</t>
  </si>
  <si>
    <t>11/06/1984</t>
  </si>
  <si>
    <t>Tyrin Lannister</t>
  </si>
  <si>
    <t>000.000.028-00</t>
  </si>
  <si>
    <t>02/08/2002</t>
  </si>
  <si>
    <t>Tyrin Snw</t>
  </si>
  <si>
    <t>000.000.279-00</t>
  </si>
  <si>
    <t>01/05/1955</t>
  </si>
  <si>
    <t>Tyrin Tyrell</t>
  </si>
  <si>
    <t>000.000.190-00</t>
  </si>
  <si>
    <t>02/12/1984</t>
  </si>
  <si>
    <t>Tyrin Westerling</t>
  </si>
  <si>
    <t>000.000.290-00</t>
  </si>
  <si>
    <t>Varys  Blackwd</t>
  </si>
  <si>
    <t>000.000.267-00</t>
  </si>
  <si>
    <t>03/06/1972</t>
  </si>
  <si>
    <t>Varys  Stark</t>
  </si>
  <si>
    <t>000.000.377-00</t>
  </si>
  <si>
    <t>11/06/2002</t>
  </si>
  <si>
    <t>Varys Arryn</t>
  </si>
  <si>
    <t>000.000.097-00</t>
  </si>
  <si>
    <t>28/08/1970</t>
  </si>
  <si>
    <t>Varys Blackwd</t>
  </si>
  <si>
    <t>000.000.373-00</t>
  </si>
  <si>
    <t>Varys Bltn</t>
  </si>
  <si>
    <t>000.000.272-00</t>
  </si>
  <si>
    <t>22/05/1970</t>
  </si>
  <si>
    <t>Varys Bracken</t>
  </si>
  <si>
    <t>000.000.215-00</t>
  </si>
  <si>
    <t>04/02/1998</t>
  </si>
  <si>
    <t>Varys Flrent</t>
  </si>
  <si>
    <t>000.000.264-00</t>
  </si>
  <si>
    <t>04/02/1969</t>
  </si>
  <si>
    <t>Varys Lannister</t>
  </si>
  <si>
    <t>000.000.367-00</t>
  </si>
  <si>
    <t>11/08/1958</t>
  </si>
  <si>
    <t>000.000.010-00</t>
  </si>
  <si>
    <t>11/08/1965</t>
  </si>
  <si>
    <t>Varys Tallhart</t>
  </si>
  <si>
    <t>09/07/1965</t>
  </si>
  <si>
    <t>Varys Targaryen</t>
  </si>
  <si>
    <t>000.000.234-00</t>
  </si>
  <si>
    <t>12/08/1979</t>
  </si>
  <si>
    <t>Viserys  Umber</t>
  </si>
  <si>
    <t>000.000.155-00</t>
  </si>
  <si>
    <t>28/05/2007</t>
  </si>
  <si>
    <t>Viserys Barathen</t>
  </si>
  <si>
    <t>000.000.186-00</t>
  </si>
  <si>
    <t>17/12/1992</t>
  </si>
  <si>
    <t>Viserys Flrent</t>
  </si>
  <si>
    <t>000.000.129-00</t>
  </si>
  <si>
    <t>23/03/1967</t>
  </si>
  <si>
    <t>Viserys Hightwer</t>
  </si>
  <si>
    <t>000.000.002-62</t>
  </si>
  <si>
    <t>02/04/1965</t>
  </si>
  <si>
    <t>000.000.080-00</t>
  </si>
  <si>
    <t>14/04/1972</t>
  </si>
  <si>
    <t>Viserys Seawrth</t>
  </si>
  <si>
    <t>000.000.024-00</t>
  </si>
  <si>
    <t>17/10/1964</t>
  </si>
  <si>
    <t>Yara  Marbrand</t>
  </si>
  <si>
    <t>000.000.266-00</t>
  </si>
  <si>
    <t>19/03/1956</t>
  </si>
  <si>
    <t>Yara Baelish</t>
  </si>
  <si>
    <t>000.000.344-00</t>
  </si>
  <si>
    <t>09/07/1962</t>
  </si>
  <si>
    <t>Yara Mallister</t>
  </si>
  <si>
    <t>000.000.134-00</t>
  </si>
  <si>
    <t>02/11/1981</t>
  </si>
  <si>
    <t>Yara Payne</t>
  </si>
  <si>
    <t>000.000.250-00</t>
  </si>
  <si>
    <t>15/01/2004</t>
  </si>
  <si>
    <t>Yara Ryce</t>
  </si>
  <si>
    <t>000.000.320-00</t>
  </si>
  <si>
    <t>08/12/1957</t>
  </si>
  <si>
    <t>000.000.277-00</t>
  </si>
  <si>
    <t>06/04/1961</t>
  </si>
  <si>
    <t>Yara Tallhart</t>
  </si>
  <si>
    <t>000.000.064-00</t>
  </si>
  <si>
    <t>03/01/1969</t>
  </si>
  <si>
    <t>Yara Targaryen</t>
  </si>
  <si>
    <t>000.000.059-00</t>
  </si>
  <si>
    <t>05/08/1984</t>
  </si>
  <si>
    <t>Coluna analisada</t>
  </si>
  <si>
    <t>Problema encontrado</t>
  </si>
  <si>
    <t>Exemplo encontrado</t>
  </si>
  <si>
    <t>Tipo de problema</t>
  </si>
  <si>
    <t>Ação realizada</t>
  </si>
  <si>
    <t>Resultado esperado</t>
  </si>
  <si>
    <t>Decisão</t>
  </si>
  <si>
    <t>flag_idimplente2</t>
  </si>
  <si>
    <t>Coluna redundante e duplicada</t>
  </si>
  <si>
    <t>flag_idimplente2 identica a flag_inadimplente</t>
  </si>
  <si>
    <t>Estrutura / Redundancia</t>
  </si>
  <si>
    <t>Excluida coluna duplicada da tabela para evitar retrabalho</t>
  </si>
  <si>
    <t>Remocao completa de coluna espelho</t>
  </si>
  <si>
    <t>Corrigido</t>
  </si>
  <si>
    <t>Erro de referencia ao reposicionar colunas</t>
  </si>
  <si>
    <t>#REF! apos mover coluna de valor solicitado</t>
  </si>
  <si>
    <t>Integridade / Referencia</t>
  </si>
  <si>
    <t>Atualizada formula para puxar da nova posicao (O2) e recalculado</t>
  </si>
  <si>
    <t>Valores calculados sem quebra de referencia</t>
  </si>
  <si>
    <t>Concessao indevida para reprovados na 2a analise</t>
  </si>
  <si>
    <t>R$29,160.00 liberados mesmo com analise_credito Negada</t>
  </si>
  <si>
    <t>Regra de negocio</t>
  </si>
  <si>
    <t>Alterada condicional de AND para OR (barrando se qualquer analise reprovar)</t>
  </si>
  <si>
    <t>Credito zerado (R$0.00) para qualquer reprovacao</t>
  </si>
  <si>
    <t>Formatacao condicional pintando indevidamente de verde</t>
  </si>
  <si>
    <t>Valores de clientes reprovados recebendo destaque verde</t>
  </si>
  <si>
    <t>Formatacao condicional</t>
  </si>
  <si>
    <t>Removida formatacao condicional da coluna, mantendo cor neutra e moeda</t>
  </si>
  <si>
    <t>Texto padrao legivel com valores em R$0.00</t>
  </si>
  <si>
    <t>Valores exibidos como numeros inteiros puros</t>
  </si>
  <si>
    <t>32400 em vez de valor monetario</t>
  </si>
  <si>
    <t>Apresentacao / Tipo</t>
  </si>
  <si>
    <t>Formatada coluna inteira no padrao Currency (R$#,##0.00)</t>
  </si>
  <si>
    <t>Valores expressos em formato monetario</t>
  </si>
  <si>
    <t>Referencia circular e erro de sintaxe</t>
  </si>
  <si>
    <t>Formula retornando 0 por referenciar a propria celula M2</t>
  </si>
  <si>
    <t>Logica / Referencia</t>
  </si>
  <si>
    <t>Corrigida referencia para ler coluna L (risco) e J (flag original)</t>
  </si>
  <si>
    <t>Status Passa e Negada calculados corretamente</t>
  </si>
  <si>
    <t>Necessidade de validacao de credito previo e risco</t>
  </si>
  <si>
    <t>Coluna ausente na base bruta</t>
  </si>
  <si>
    <t>Criada formula condicional: se credito_tomado &gt; 50000 e flag=Sim entao Negada</t>
  </si>
  <si>
    <t>Clientes de alto endividamento barrados</t>
  </si>
  <si>
    <t>Preenchimento manual inviavel e ausencia de categorias</t>
  </si>
  <si>
    <t>Coluna vazia na base bruta</t>
  </si>
  <si>
    <t>Criada classificacao logica baseada em qtde_batalhas (&lt;=10, 11-25, &gt;25)</t>
  </si>
  <si>
    <t>Categorias Baixo, Medio e Alto atribuidas</t>
  </si>
  <si>
    <t>Dificuldade de visualizacao imediata do grau de risco</t>
  </si>
  <si>
    <t>Texto plano sem diferenciacao visual</t>
  </si>
  <si>
    <t>Semiotica / Visual</t>
  </si>
  <si>
    <t>Aplicada formatacao condicional semaforica (Alto=Vermelho, Medio=Amarelo, Baixo=Verde)</t>
  </si>
  <si>
    <t>Identificacao visual instantanea do perfil</t>
  </si>
  <si>
    <t>ordem_das_colunas</t>
  </si>
  <si>
    <t>Coluna de entrada posicionada apos a coluna de resultado</t>
  </si>
  <si>
    <t>valor_solicitado posicionado apos liberacao_de_credito</t>
  </si>
  <si>
    <t>Estrutura de dados</t>
  </si>
  <si>
    <t>Movida coluna valor_solicitado para antes de liberacao_de_credito</t>
  </si>
  <si>
    <t>Fluxo logico correto: Dados de entrada para Decisao final</t>
  </si>
  <si>
    <t>status</t>
  </si>
  <si>
    <t>Categorias com grafias inconsistentes</t>
  </si>
  <si>
    <t>ATIVO, ativo, atívoo</t>
  </si>
  <si>
    <t>Padronizacao</t>
  </si>
  <si>
    <t>Normalizado para texto padronizado (Ativo / Inativo)</t>
  </si>
  <si>
    <t>Categoria textual unica</t>
  </si>
  <si>
    <t>cpf</t>
  </si>
  <si>
    <t>Perda do zero a esquerda por conversao numerica</t>
  </si>
  <si>
    <t>3300</t>
  </si>
  <si>
    <t>Qualidade</t>
  </si>
  <si>
    <t>Aplicada mascara de formato texto com 11 digitos</t>
  </si>
  <si>
    <t>Padrao 000.000.000-00 preservado</t>
  </si>
  <si>
    <t>idade</t>
  </si>
  <si>
    <t>Concatenacao indevida de texto com numero</t>
  </si>
  <si>
    <t>67 anos</t>
  </si>
  <si>
    <t>Tipagem / Qualidade</t>
  </si>
  <si>
    <t>Removida a string anos mantendo valor numerico inteiro</t>
  </si>
  <si>
    <t>Campo numerico puro para calculo</t>
  </si>
  <si>
    <t>data_nascimento</t>
  </si>
  <si>
    <t>Valores gravados como numero serial do Excel</t>
  </si>
  <si>
    <t>33892</t>
  </si>
  <si>
    <t>Formatacao / Tipo</t>
  </si>
  <si>
    <t>Conversao do numero serial para formato data</t>
  </si>
  <si>
    <t>Padrao legivel DD/MM/AAAA</t>
  </si>
  <si>
    <t>cidade</t>
  </si>
  <si>
    <t>Duas dimensoes distintas em uma mesma celula</t>
  </si>
  <si>
    <t>Braavos | Essos</t>
  </si>
  <si>
    <t>Modelagem / Estrutura</t>
  </si>
  <si>
    <t>Divisao da string criando as colunas cidade e regiao</t>
  </si>
  <si>
    <t>Atributos atomicos e independentes</t>
  </si>
  <si>
    <t>renda_mensal</t>
  </si>
  <si>
    <t>Inconsistencia de escala e caracteres monetarios</t>
  </si>
  <si>
    <t>R$ 2.00 em vez de 2000.00</t>
  </si>
  <si>
    <t>Qualidade / Escala</t>
  </si>
  <si>
    <t>Multiplicacao pelo fator de escala e formatacao monetaria</t>
  </si>
  <si>
    <t>Renda real refletida em moeda</t>
  </si>
  <si>
    <t>Valores com distorcao de escala e strings N/A</t>
  </si>
  <si>
    <t>R$80.00 e texto N/A</t>
  </si>
  <si>
    <t>Escala / Negocio</t>
  </si>
  <si>
    <t>Ajuste da escala mantendo o texto N/A para nao falsear dados</t>
  </si>
  <si>
    <t>Manutencao da semantica original</t>
  </si>
  <si>
    <t>Registrado</t>
  </si>
  <si>
    <t>Texto junto ao numero e celulas vazias</t>
  </si>
  <si>
    <t>44 batalhas</t>
  </si>
  <si>
    <t>Remocao de strings de texto preservando vazios</t>
  </si>
  <si>
    <t>Numeros inteiros computaveis</t>
  </si>
  <si>
    <t>Pergunta de análise (Pergunta essencial)</t>
  </si>
  <si>
    <t>Tipo de dado</t>
  </si>
  <si>
    <t>Indicador ou cálculo</t>
  </si>
  <si>
    <t>Gráfico</t>
  </si>
  <si>
    <t>Insight</t>
  </si>
  <si>
    <t>Qual nível de risco é mais frequente?</t>
  </si>
  <si>
    <t>Categórico</t>
  </si>
  <si>
    <t>Contagem de solicitações por nível de risco</t>
  </si>
  <si>
    <t>Barras horizontais</t>
  </si>
  <si>
    <t>A maior concentração de clientes está no risco Baixo (158), seguido pelo risco Alto (128) impulsionado pelo elevado volume de batalhas.</t>
  </si>
  <si>
    <t>Qual a proporção de clientes inadimplentes?</t>
  </si>
  <si>
    <t>Percentual (%) de inadimplência (Sim vs Não)</t>
  </si>
  <si>
    <t>Pizza</t>
  </si>
  <si>
    <t>Clientes com flag "Sim" representam fatia relevante e demandam corte na concessão.</t>
  </si>
  <si>
    <t>Quanto maior a renda, maior o valor solicitado?</t>
  </si>
  <si>
    <t>Quantitativo</t>
  </si>
  <si>
    <t>Cruzamento: Renda Mensal × Valor Solicitado</t>
  </si>
  <si>
    <t>Dispersão</t>
  </si>
  <si>
    <t>Não há relação direta linear: perfis de menor renda chegam a pedir valores de topo de tabela.</t>
  </si>
  <si>
    <t>Count of nivel_risco</t>
  </si>
  <si>
    <t>Count of flag_inadimplente</t>
  </si>
  <si>
    <t>Médio</t>
  </si>
  <si>
    <t>Alto</t>
  </si>
  <si>
    <t>Baixo</t>
  </si>
  <si>
    <t>Total Geral</t>
  </si>
  <si>
    <t>Average of valor_solicitado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</si>
</sst>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R$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4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1" fontId="13" fillId="33" borderId="11" xfId="0" applyNumberFormat="1" applyFont="1" applyFill="1" applyBorder="1" applyAlignment="1">
      <alignment horizontal="left" vertical="center"/>
    </xf>
    <xf numFmtId="14" fontId="13" fillId="33" borderId="11" xfId="0" applyNumberFormat="1" applyFont="1" applyFill="1" applyBorder="1" applyAlignment="1">
      <alignment horizontal="left"/>
    </xf>
    <xf numFmtId="1" fontId="13" fillId="33" borderId="11" xfId="0" applyNumberFormat="1" applyFont="1" applyFill="1" applyBorder="1"/>
    <xf numFmtId="0" fontId="0" fillId="0" borderId="10" xfId="0" applyFont="1" applyBorder="1"/>
    <xf numFmtId="0" fontId="0" fillId="0" borderId="11" xfId="0" applyFont="1" applyBorder="1"/>
    <xf numFmtId="1" fontId="0" fillId="0" borderId="11" xfId="0" applyNumberFormat="1" applyFont="1" applyBorder="1" applyAlignment="1">
      <alignment horizontal="left" vertical="center"/>
    </xf>
    <xf numFmtId="14" fontId="0" fillId="0" borderId="11" xfId="0" applyNumberFormat="1" applyFont="1" applyBorder="1" applyAlignment="1">
      <alignment horizontal="left"/>
    </xf>
    <xf numFmtId="1" fontId="0" fillId="0" borderId="11" xfId="0" applyNumberFormat="1" applyFont="1" applyBorder="1" applyAlignment="1">
      <alignment horizontal="left"/>
    </xf>
    <xf numFmtId="0" fontId="0" fillId="0" borderId="11" xfId="0" applyFont="1" applyBorder="1" applyAlignment="1"/>
    <xf numFmtId="0" fontId="18" fillId="0" borderId="11" xfId="0" applyFont="1" applyBorder="1"/>
    <xf numFmtId="14" fontId="18" fillId="0" borderId="11" xfId="0" applyNumberFormat="1" applyFont="1" applyBorder="1" applyAlignment="1">
      <alignment horizontal="left"/>
    </xf>
    <xf numFmtId="0" fontId="0" fillId="0" borderId="13" xfId="0" applyFont="1" applyBorder="1"/>
    <xf numFmtId="0" fontId="0" fillId="0" borderId="14" xfId="0" applyFont="1" applyBorder="1"/>
    <xf numFmtId="1" fontId="0" fillId="0" borderId="14" xfId="0" applyNumberFormat="1" applyFont="1" applyBorder="1" applyAlignment="1">
      <alignment horizontal="left" vertical="center"/>
    </xf>
    <xf numFmtId="14" fontId="0" fillId="0" borderId="14" xfId="0" applyNumberFormat="1" applyFont="1" applyBorder="1" applyAlignment="1">
      <alignment horizontal="left"/>
    </xf>
    <xf numFmtId="1" fontId="0" fillId="0" borderId="14" xfId="0" applyNumberFormat="1" applyFont="1" applyBorder="1" applyAlignment="1">
      <alignment horizontal="left"/>
    </xf>
    <xf numFmtId="0" fontId="0" fillId="0" borderId="16" xfId="0" applyFont="1" applyBorder="1"/>
    <xf numFmtId="0" fontId="13" fillId="33" borderId="11" xfId="0" applyFont="1" applyFill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0" fillId="0" borderId="0" xfId="0" applyFont="1" applyAlignment="1"/>
    <xf numFmtId="0" fontId="0" fillId="0" borderId="0" xfId="0" applyAlignment="1">
      <alignment horizontal="center" wrapText="1"/>
    </xf>
    <xf numFmtId="165" fontId="13" fillId="33" borderId="11" xfId="0" applyNumberFormat="1" applyFont="1" applyFill="1" applyBorder="1" applyAlignment="1">
      <alignment horizontal="left"/>
    </xf>
    <xf numFmtId="165" fontId="0" fillId="0" borderId="11" xfId="0" applyNumberFormat="1" applyFont="1" applyBorder="1" applyAlignment="1">
      <alignment horizontal="left"/>
    </xf>
    <xf numFmtId="165" fontId="0" fillId="0" borderId="14" xfId="0" applyNumberFormat="1" applyFont="1" applyBorder="1" applyAlignment="1">
      <alignment horizontal="left"/>
    </xf>
    <xf numFmtId="165" fontId="0" fillId="0" borderId="0" xfId="0" applyNumberFormat="1"/>
    <xf numFmtId="165" fontId="13" fillId="33" borderId="12" xfId="0" applyNumberFormat="1" applyFont="1" applyFill="1" applyBorder="1" applyAlignment="1">
      <alignment horizontal="right"/>
    </xf>
    <xf numFmtId="165" fontId="0" fillId="0" borderId="12" xfId="0" applyNumberFormat="1" applyFont="1" applyBorder="1" applyAlignment="1">
      <alignment horizontal="right"/>
    </xf>
    <xf numFmtId="165" fontId="0" fillId="0" borderId="15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65" fontId="13" fillId="33" borderId="11" xfId="0" applyNumberFormat="1" applyFont="1" applyFill="1" applyBorder="1"/>
    <xf numFmtId="165" fontId="0" fillId="0" borderId="11" xfId="0" applyNumberFormat="1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6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 patternType="solid">
          <bgColor theme="0"/>
        </patternFill>
      </fill>
    </dxf>
    <dxf>
      <font>
        <color theme="1" tint="0.499984740745262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</dxfs>
  <tableStyles count="0" defaultTableStyle="TableStyleMedium2" defaultPivotStyle="PivotStyleLight16"/>
  <colors>
    <mruColors>
      <color rgb="FFB0BEC5"/>
      <color rgb="FF00BFA5"/>
      <color rgb="FFE05656"/>
      <color rgb="FFED74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[Fernando_Guilherme_GOT.xlsx]Analise!PivotTable2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Frequência por Nível de Risco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414-48AF-94F0-735D51F37023}"/>
              </c:ext>
            </c:extLst>
          </c:dPt>
          <c:cat>
            <c:strRef>
              <c:f>Analise!$J$6:$J$9</c:f>
              <c:strCache>
                <c:ptCount val="3"/>
                <c:pt idx="0">
                  <c:v>Médio</c:v>
                </c:pt>
                <c:pt idx="1">
                  <c:v>Alto</c:v>
                </c:pt>
                <c:pt idx="2">
                  <c:v>Baixo</c:v>
                </c:pt>
              </c:strCache>
            </c:strRef>
          </c:cat>
          <c:val>
            <c:numRef>
              <c:f>Analise!$K$6:$K$9</c:f>
              <c:numCache>
                <c:formatCode>General</c:formatCode>
                <c:ptCount val="3"/>
                <c:pt idx="0">
                  <c:v>93</c:v>
                </c:pt>
                <c:pt idx="1">
                  <c:v>128</c:v>
                </c:pt>
                <c:pt idx="2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FD-4C95-9B68-6A8409278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2068103"/>
        <c:axId val="2072658439"/>
      </c:barChart>
      <c:catAx>
        <c:axId val="2072068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658439"/>
        <c:crosses val="autoZero"/>
        <c:auto val="1"/>
        <c:lblAlgn val="ctr"/>
        <c:lblOffset val="100"/>
        <c:noMultiLvlLbl val="0"/>
      </c:catAx>
      <c:valAx>
        <c:axId val="2072658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068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[Fernando_Guilherme_GOT.xlsx]Analise!PivotTable4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Proporção de Clientes Inadimplentes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0BEC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E0565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BFA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Analise!$N$5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B0BEC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8A4F-4479-9C3A-8BDA9F4A8FBC}"/>
              </c:ext>
            </c:extLst>
          </c:dPt>
          <c:dPt>
            <c:idx val="1"/>
            <c:bubble3D val="0"/>
            <c:spPr>
              <a:solidFill>
                <a:srgbClr val="00BF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A4F-4479-9C3A-8BDA9F4A8FBC}"/>
              </c:ext>
            </c:extLst>
          </c:dPt>
          <c:dPt>
            <c:idx val="2"/>
            <c:bubble3D val="0"/>
            <c:spPr>
              <a:solidFill>
                <a:srgbClr val="E0565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4F-4479-9C3A-8BDA9F4A8F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Analise!$M$6:$M$9</c:f>
              <c:strCache>
                <c:ptCount val="3"/>
                <c:pt idx="0">
                  <c:v>N/A</c:v>
                </c:pt>
                <c:pt idx="1">
                  <c:v>Não</c:v>
                </c:pt>
                <c:pt idx="2">
                  <c:v>Sim</c:v>
                </c:pt>
              </c:strCache>
            </c:strRef>
          </c:cat>
          <c:val>
            <c:numRef>
              <c:f>Analise!$N$6:$N$9</c:f>
              <c:numCache>
                <c:formatCode>0.00%</c:formatCode>
                <c:ptCount val="3"/>
                <c:pt idx="0">
                  <c:v>0.29177718832891247</c:v>
                </c:pt>
                <c:pt idx="1">
                  <c:v>0.5305039787798409</c:v>
                </c:pt>
                <c:pt idx="2">
                  <c:v>0.17771883289124668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8-464C-A22D-21DE4D1A02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Renda Mensal vs Valor Solicitado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Analise!$M$21:$M$232</c:f>
              <c:numCache>
                <c:formatCode>General</c:formatCode>
                <c:ptCount val="212"/>
                <c:pt idx="0">
                  <c:v>1900</c:v>
                </c:pt>
                <c:pt idx="1">
                  <c:v>2000</c:v>
                </c:pt>
                <c:pt idx="2">
                  <c:v>2100</c:v>
                </c:pt>
                <c:pt idx="3">
                  <c:v>2300</c:v>
                </c:pt>
                <c:pt idx="4">
                  <c:v>2400</c:v>
                </c:pt>
                <c:pt idx="5">
                  <c:v>2500</c:v>
                </c:pt>
                <c:pt idx="6">
                  <c:v>2600</c:v>
                </c:pt>
                <c:pt idx="7">
                  <c:v>2800</c:v>
                </c:pt>
                <c:pt idx="8">
                  <c:v>2900</c:v>
                </c:pt>
                <c:pt idx="9">
                  <c:v>3200</c:v>
                </c:pt>
                <c:pt idx="10">
                  <c:v>3300</c:v>
                </c:pt>
                <c:pt idx="11">
                  <c:v>3400</c:v>
                </c:pt>
                <c:pt idx="12">
                  <c:v>3500</c:v>
                </c:pt>
                <c:pt idx="13">
                  <c:v>3600</c:v>
                </c:pt>
                <c:pt idx="14">
                  <c:v>3800</c:v>
                </c:pt>
                <c:pt idx="15">
                  <c:v>3900</c:v>
                </c:pt>
                <c:pt idx="16">
                  <c:v>4000</c:v>
                </c:pt>
                <c:pt idx="17">
                  <c:v>4100</c:v>
                </c:pt>
                <c:pt idx="18">
                  <c:v>4400</c:v>
                </c:pt>
                <c:pt idx="19">
                  <c:v>4500</c:v>
                </c:pt>
                <c:pt idx="20">
                  <c:v>4800</c:v>
                </c:pt>
                <c:pt idx="21">
                  <c:v>5000</c:v>
                </c:pt>
                <c:pt idx="22">
                  <c:v>5100</c:v>
                </c:pt>
                <c:pt idx="23">
                  <c:v>5300</c:v>
                </c:pt>
                <c:pt idx="24">
                  <c:v>5400</c:v>
                </c:pt>
                <c:pt idx="25">
                  <c:v>5500</c:v>
                </c:pt>
                <c:pt idx="26">
                  <c:v>6000</c:v>
                </c:pt>
                <c:pt idx="27">
                  <c:v>6100</c:v>
                </c:pt>
                <c:pt idx="28">
                  <c:v>6300</c:v>
                </c:pt>
                <c:pt idx="29">
                  <c:v>6400</c:v>
                </c:pt>
                <c:pt idx="30">
                  <c:v>6500</c:v>
                </c:pt>
                <c:pt idx="31">
                  <c:v>6600</c:v>
                </c:pt>
                <c:pt idx="32">
                  <c:v>6700</c:v>
                </c:pt>
                <c:pt idx="33">
                  <c:v>6800</c:v>
                </c:pt>
                <c:pt idx="34">
                  <c:v>6900</c:v>
                </c:pt>
                <c:pt idx="35">
                  <c:v>7000</c:v>
                </c:pt>
                <c:pt idx="36">
                  <c:v>7100</c:v>
                </c:pt>
                <c:pt idx="37">
                  <c:v>7200</c:v>
                </c:pt>
                <c:pt idx="38">
                  <c:v>7300</c:v>
                </c:pt>
                <c:pt idx="39">
                  <c:v>8000</c:v>
                </c:pt>
                <c:pt idx="40">
                  <c:v>8100</c:v>
                </c:pt>
                <c:pt idx="41">
                  <c:v>8200</c:v>
                </c:pt>
                <c:pt idx="42">
                  <c:v>8400</c:v>
                </c:pt>
                <c:pt idx="43">
                  <c:v>8500</c:v>
                </c:pt>
                <c:pt idx="44">
                  <c:v>8600</c:v>
                </c:pt>
                <c:pt idx="45">
                  <c:v>8700</c:v>
                </c:pt>
                <c:pt idx="46">
                  <c:v>8800</c:v>
                </c:pt>
                <c:pt idx="47">
                  <c:v>8900</c:v>
                </c:pt>
                <c:pt idx="48">
                  <c:v>9000</c:v>
                </c:pt>
                <c:pt idx="49">
                  <c:v>9100</c:v>
                </c:pt>
                <c:pt idx="50">
                  <c:v>9200</c:v>
                </c:pt>
                <c:pt idx="51">
                  <c:v>9300</c:v>
                </c:pt>
                <c:pt idx="52">
                  <c:v>9400</c:v>
                </c:pt>
                <c:pt idx="53">
                  <c:v>9500</c:v>
                </c:pt>
                <c:pt idx="54">
                  <c:v>9600</c:v>
                </c:pt>
                <c:pt idx="55">
                  <c:v>9700</c:v>
                </c:pt>
                <c:pt idx="56">
                  <c:v>9800</c:v>
                </c:pt>
                <c:pt idx="57">
                  <c:v>9900</c:v>
                </c:pt>
                <c:pt idx="58">
                  <c:v>10000</c:v>
                </c:pt>
                <c:pt idx="59">
                  <c:v>10100</c:v>
                </c:pt>
                <c:pt idx="60">
                  <c:v>10200</c:v>
                </c:pt>
                <c:pt idx="61">
                  <c:v>10400</c:v>
                </c:pt>
                <c:pt idx="62">
                  <c:v>10500</c:v>
                </c:pt>
                <c:pt idx="63">
                  <c:v>10700</c:v>
                </c:pt>
                <c:pt idx="64">
                  <c:v>11000</c:v>
                </c:pt>
                <c:pt idx="65">
                  <c:v>11100</c:v>
                </c:pt>
                <c:pt idx="66">
                  <c:v>11200</c:v>
                </c:pt>
                <c:pt idx="67">
                  <c:v>11300</c:v>
                </c:pt>
                <c:pt idx="68">
                  <c:v>11400</c:v>
                </c:pt>
                <c:pt idx="69">
                  <c:v>11500</c:v>
                </c:pt>
                <c:pt idx="70">
                  <c:v>11600</c:v>
                </c:pt>
                <c:pt idx="71">
                  <c:v>11800</c:v>
                </c:pt>
                <c:pt idx="72">
                  <c:v>11900</c:v>
                </c:pt>
                <c:pt idx="73">
                  <c:v>12200</c:v>
                </c:pt>
                <c:pt idx="74">
                  <c:v>12400</c:v>
                </c:pt>
                <c:pt idx="75">
                  <c:v>12500</c:v>
                </c:pt>
                <c:pt idx="76">
                  <c:v>12600</c:v>
                </c:pt>
                <c:pt idx="77">
                  <c:v>12700</c:v>
                </c:pt>
                <c:pt idx="78">
                  <c:v>12800</c:v>
                </c:pt>
                <c:pt idx="79">
                  <c:v>12900</c:v>
                </c:pt>
                <c:pt idx="80">
                  <c:v>13200</c:v>
                </c:pt>
                <c:pt idx="81">
                  <c:v>13300</c:v>
                </c:pt>
                <c:pt idx="82">
                  <c:v>13400</c:v>
                </c:pt>
                <c:pt idx="83">
                  <c:v>13500</c:v>
                </c:pt>
                <c:pt idx="84">
                  <c:v>13800</c:v>
                </c:pt>
                <c:pt idx="85">
                  <c:v>13900</c:v>
                </c:pt>
                <c:pt idx="86">
                  <c:v>14000</c:v>
                </c:pt>
                <c:pt idx="87">
                  <c:v>14100</c:v>
                </c:pt>
                <c:pt idx="88">
                  <c:v>14200</c:v>
                </c:pt>
                <c:pt idx="89">
                  <c:v>14300</c:v>
                </c:pt>
                <c:pt idx="90">
                  <c:v>14400</c:v>
                </c:pt>
                <c:pt idx="91">
                  <c:v>14500</c:v>
                </c:pt>
                <c:pt idx="92">
                  <c:v>14600</c:v>
                </c:pt>
                <c:pt idx="93">
                  <c:v>14700</c:v>
                </c:pt>
                <c:pt idx="94">
                  <c:v>14900</c:v>
                </c:pt>
                <c:pt idx="95">
                  <c:v>15000</c:v>
                </c:pt>
                <c:pt idx="96">
                  <c:v>15100</c:v>
                </c:pt>
                <c:pt idx="97">
                  <c:v>15200</c:v>
                </c:pt>
                <c:pt idx="98">
                  <c:v>15500</c:v>
                </c:pt>
                <c:pt idx="99">
                  <c:v>15600</c:v>
                </c:pt>
                <c:pt idx="100">
                  <c:v>15800</c:v>
                </c:pt>
                <c:pt idx="101">
                  <c:v>16000</c:v>
                </c:pt>
                <c:pt idx="102">
                  <c:v>16100</c:v>
                </c:pt>
                <c:pt idx="103">
                  <c:v>16200</c:v>
                </c:pt>
                <c:pt idx="104">
                  <c:v>16300</c:v>
                </c:pt>
                <c:pt idx="105">
                  <c:v>16400</c:v>
                </c:pt>
                <c:pt idx="106">
                  <c:v>16500</c:v>
                </c:pt>
                <c:pt idx="107">
                  <c:v>16600</c:v>
                </c:pt>
                <c:pt idx="108">
                  <c:v>16800</c:v>
                </c:pt>
                <c:pt idx="109">
                  <c:v>16900</c:v>
                </c:pt>
                <c:pt idx="110">
                  <c:v>17000</c:v>
                </c:pt>
                <c:pt idx="111">
                  <c:v>17300</c:v>
                </c:pt>
                <c:pt idx="112">
                  <c:v>17400</c:v>
                </c:pt>
                <c:pt idx="113">
                  <c:v>17500</c:v>
                </c:pt>
                <c:pt idx="114">
                  <c:v>17600</c:v>
                </c:pt>
                <c:pt idx="115">
                  <c:v>17800</c:v>
                </c:pt>
                <c:pt idx="116">
                  <c:v>17900</c:v>
                </c:pt>
                <c:pt idx="117">
                  <c:v>18000</c:v>
                </c:pt>
                <c:pt idx="118">
                  <c:v>18100</c:v>
                </c:pt>
                <c:pt idx="119">
                  <c:v>18200</c:v>
                </c:pt>
                <c:pt idx="120">
                  <c:v>18300</c:v>
                </c:pt>
                <c:pt idx="121">
                  <c:v>18400</c:v>
                </c:pt>
                <c:pt idx="122">
                  <c:v>18500</c:v>
                </c:pt>
                <c:pt idx="123">
                  <c:v>18700</c:v>
                </c:pt>
                <c:pt idx="124">
                  <c:v>18900</c:v>
                </c:pt>
                <c:pt idx="125">
                  <c:v>19400</c:v>
                </c:pt>
                <c:pt idx="126">
                  <c:v>19500</c:v>
                </c:pt>
                <c:pt idx="127">
                  <c:v>19800</c:v>
                </c:pt>
                <c:pt idx="128">
                  <c:v>19900</c:v>
                </c:pt>
                <c:pt idx="129">
                  <c:v>20000</c:v>
                </c:pt>
                <c:pt idx="130">
                  <c:v>20100</c:v>
                </c:pt>
                <c:pt idx="131">
                  <c:v>20200</c:v>
                </c:pt>
                <c:pt idx="132">
                  <c:v>20300</c:v>
                </c:pt>
                <c:pt idx="133">
                  <c:v>20400</c:v>
                </c:pt>
                <c:pt idx="134">
                  <c:v>20500</c:v>
                </c:pt>
                <c:pt idx="135">
                  <c:v>20600</c:v>
                </c:pt>
                <c:pt idx="136">
                  <c:v>20700</c:v>
                </c:pt>
                <c:pt idx="137">
                  <c:v>20800</c:v>
                </c:pt>
                <c:pt idx="138">
                  <c:v>20900</c:v>
                </c:pt>
                <c:pt idx="139">
                  <c:v>21000</c:v>
                </c:pt>
                <c:pt idx="140">
                  <c:v>21100</c:v>
                </c:pt>
                <c:pt idx="141">
                  <c:v>21200</c:v>
                </c:pt>
                <c:pt idx="142">
                  <c:v>21300</c:v>
                </c:pt>
                <c:pt idx="143">
                  <c:v>21500</c:v>
                </c:pt>
                <c:pt idx="144">
                  <c:v>21600</c:v>
                </c:pt>
                <c:pt idx="145">
                  <c:v>21700</c:v>
                </c:pt>
                <c:pt idx="146">
                  <c:v>21900</c:v>
                </c:pt>
                <c:pt idx="147">
                  <c:v>22100</c:v>
                </c:pt>
                <c:pt idx="148">
                  <c:v>22200</c:v>
                </c:pt>
                <c:pt idx="149">
                  <c:v>22500</c:v>
                </c:pt>
                <c:pt idx="150">
                  <c:v>22600</c:v>
                </c:pt>
                <c:pt idx="151">
                  <c:v>22700</c:v>
                </c:pt>
                <c:pt idx="152">
                  <c:v>22800</c:v>
                </c:pt>
                <c:pt idx="153">
                  <c:v>22900</c:v>
                </c:pt>
                <c:pt idx="154">
                  <c:v>23000</c:v>
                </c:pt>
                <c:pt idx="155">
                  <c:v>23100</c:v>
                </c:pt>
                <c:pt idx="156">
                  <c:v>23200</c:v>
                </c:pt>
                <c:pt idx="157">
                  <c:v>23400</c:v>
                </c:pt>
                <c:pt idx="158">
                  <c:v>23600</c:v>
                </c:pt>
                <c:pt idx="159">
                  <c:v>23800</c:v>
                </c:pt>
                <c:pt idx="160">
                  <c:v>23900</c:v>
                </c:pt>
                <c:pt idx="161">
                  <c:v>24000</c:v>
                </c:pt>
                <c:pt idx="162">
                  <c:v>24100</c:v>
                </c:pt>
                <c:pt idx="163">
                  <c:v>24300</c:v>
                </c:pt>
                <c:pt idx="164">
                  <c:v>24400</c:v>
                </c:pt>
                <c:pt idx="165">
                  <c:v>24500</c:v>
                </c:pt>
                <c:pt idx="166">
                  <c:v>24700</c:v>
                </c:pt>
                <c:pt idx="167">
                  <c:v>24900</c:v>
                </c:pt>
                <c:pt idx="168">
                  <c:v>25000</c:v>
                </c:pt>
                <c:pt idx="169">
                  <c:v>25100</c:v>
                </c:pt>
                <c:pt idx="170">
                  <c:v>25200</c:v>
                </c:pt>
                <c:pt idx="171">
                  <c:v>25400</c:v>
                </c:pt>
                <c:pt idx="172">
                  <c:v>25700</c:v>
                </c:pt>
                <c:pt idx="173">
                  <c:v>25900</c:v>
                </c:pt>
                <c:pt idx="174">
                  <c:v>26000</c:v>
                </c:pt>
                <c:pt idx="175">
                  <c:v>26300</c:v>
                </c:pt>
                <c:pt idx="176">
                  <c:v>26400</c:v>
                </c:pt>
                <c:pt idx="177">
                  <c:v>26500</c:v>
                </c:pt>
                <c:pt idx="178">
                  <c:v>26800</c:v>
                </c:pt>
                <c:pt idx="179">
                  <c:v>27100</c:v>
                </c:pt>
                <c:pt idx="180">
                  <c:v>27300</c:v>
                </c:pt>
                <c:pt idx="181">
                  <c:v>27500</c:v>
                </c:pt>
                <c:pt idx="182">
                  <c:v>27600</c:v>
                </c:pt>
                <c:pt idx="183">
                  <c:v>27800</c:v>
                </c:pt>
                <c:pt idx="184">
                  <c:v>28000</c:v>
                </c:pt>
                <c:pt idx="185">
                  <c:v>28100</c:v>
                </c:pt>
                <c:pt idx="186">
                  <c:v>28200</c:v>
                </c:pt>
                <c:pt idx="187">
                  <c:v>28300</c:v>
                </c:pt>
                <c:pt idx="188">
                  <c:v>28400</c:v>
                </c:pt>
                <c:pt idx="189">
                  <c:v>28500</c:v>
                </c:pt>
                <c:pt idx="190">
                  <c:v>28600</c:v>
                </c:pt>
                <c:pt idx="191">
                  <c:v>28700</c:v>
                </c:pt>
                <c:pt idx="192">
                  <c:v>28800</c:v>
                </c:pt>
                <c:pt idx="193">
                  <c:v>28900</c:v>
                </c:pt>
                <c:pt idx="194">
                  <c:v>29000</c:v>
                </c:pt>
                <c:pt idx="195">
                  <c:v>29100</c:v>
                </c:pt>
                <c:pt idx="196">
                  <c:v>29200</c:v>
                </c:pt>
                <c:pt idx="197">
                  <c:v>29300</c:v>
                </c:pt>
                <c:pt idx="198">
                  <c:v>29500</c:v>
                </c:pt>
                <c:pt idx="199">
                  <c:v>29700</c:v>
                </c:pt>
                <c:pt idx="200">
                  <c:v>29800</c:v>
                </c:pt>
                <c:pt idx="201">
                  <c:v>29900</c:v>
                </c:pt>
                <c:pt idx="202">
                  <c:v>30000</c:v>
                </c:pt>
                <c:pt idx="203">
                  <c:v>165000</c:v>
                </c:pt>
                <c:pt idx="204">
                  <c:v>560000</c:v>
                </c:pt>
                <c:pt idx="205">
                  <c:v>940000</c:v>
                </c:pt>
                <c:pt idx="206">
                  <c:v>1240000</c:v>
                </c:pt>
                <c:pt idx="207">
                  <c:v>1580000</c:v>
                </c:pt>
                <c:pt idx="208">
                  <c:v>2130000</c:v>
                </c:pt>
                <c:pt idx="209">
                  <c:v>2310000</c:v>
                </c:pt>
                <c:pt idx="210">
                  <c:v>2630000</c:v>
                </c:pt>
                <c:pt idx="211">
                  <c:v>2970000</c:v>
                </c:pt>
              </c:numCache>
            </c:numRef>
          </c:xVal>
          <c:yVal>
            <c:numRef>
              <c:f>Analise!$N$21:$N$232</c:f>
              <c:numCache>
                <c:formatCode>General</c:formatCode>
                <c:ptCount val="212"/>
                <c:pt idx="0">
                  <c:v>77000</c:v>
                </c:pt>
                <c:pt idx="1">
                  <c:v>73833.333333333328</c:v>
                </c:pt>
                <c:pt idx="3">
                  <c:v>56250</c:v>
                </c:pt>
                <c:pt idx="4">
                  <c:v>68500</c:v>
                </c:pt>
                <c:pt idx="5">
                  <c:v>17000</c:v>
                </c:pt>
                <c:pt idx="6">
                  <c:v>35666.666666666664</c:v>
                </c:pt>
                <c:pt idx="7">
                  <c:v>69500</c:v>
                </c:pt>
                <c:pt idx="8">
                  <c:v>23000</c:v>
                </c:pt>
                <c:pt idx="9">
                  <c:v>51000</c:v>
                </c:pt>
                <c:pt idx="11">
                  <c:v>71833.333333333328</c:v>
                </c:pt>
                <c:pt idx="13">
                  <c:v>62500</c:v>
                </c:pt>
                <c:pt idx="14">
                  <c:v>48000</c:v>
                </c:pt>
                <c:pt idx="15">
                  <c:v>55666.666666666664</c:v>
                </c:pt>
                <c:pt idx="16">
                  <c:v>26000</c:v>
                </c:pt>
                <c:pt idx="17">
                  <c:v>44250</c:v>
                </c:pt>
                <c:pt idx="18">
                  <c:v>25000</c:v>
                </c:pt>
                <c:pt idx="19">
                  <c:v>64500</c:v>
                </c:pt>
                <c:pt idx="20">
                  <c:v>15500</c:v>
                </c:pt>
                <c:pt idx="21">
                  <c:v>43000</c:v>
                </c:pt>
                <c:pt idx="22">
                  <c:v>35500</c:v>
                </c:pt>
                <c:pt idx="23">
                  <c:v>57000</c:v>
                </c:pt>
                <c:pt idx="24">
                  <c:v>62500</c:v>
                </c:pt>
                <c:pt idx="25">
                  <c:v>65500</c:v>
                </c:pt>
                <c:pt idx="27">
                  <c:v>40500</c:v>
                </c:pt>
                <c:pt idx="28">
                  <c:v>27500</c:v>
                </c:pt>
                <c:pt idx="29">
                  <c:v>31333.333333333332</c:v>
                </c:pt>
                <c:pt idx="30">
                  <c:v>41500</c:v>
                </c:pt>
                <c:pt idx="31">
                  <c:v>3000</c:v>
                </c:pt>
                <c:pt idx="32">
                  <c:v>2000</c:v>
                </c:pt>
                <c:pt idx="33">
                  <c:v>56500</c:v>
                </c:pt>
                <c:pt idx="34">
                  <c:v>23500</c:v>
                </c:pt>
                <c:pt idx="35">
                  <c:v>67500</c:v>
                </c:pt>
                <c:pt idx="36">
                  <c:v>28833.333333333332</c:v>
                </c:pt>
                <c:pt idx="37">
                  <c:v>25250</c:v>
                </c:pt>
                <c:pt idx="38">
                  <c:v>52500</c:v>
                </c:pt>
                <c:pt idx="39">
                  <c:v>66000</c:v>
                </c:pt>
                <c:pt idx="41">
                  <c:v>32500</c:v>
                </c:pt>
                <c:pt idx="42">
                  <c:v>26000</c:v>
                </c:pt>
                <c:pt idx="43">
                  <c:v>2500</c:v>
                </c:pt>
                <c:pt idx="44">
                  <c:v>24500</c:v>
                </c:pt>
                <c:pt idx="45">
                  <c:v>53000</c:v>
                </c:pt>
                <c:pt idx="46">
                  <c:v>27000</c:v>
                </c:pt>
                <c:pt idx="47">
                  <c:v>89500</c:v>
                </c:pt>
                <c:pt idx="48">
                  <c:v>98500</c:v>
                </c:pt>
                <c:pt idx="49">
                  <c:v>55250</c:v>
                </c:pt>
                <c:pt idx="50">
                  <c:v>32000</c:v>
                </c:pt>
                <c:pt idx="51">
                  <c:v>76000</c:v>
                </c:pt>
                <c:pt idx="52">
                  <c:v>51000</c:v>
                </c:pt>
                <c:pt idx="53">
                  <c:v>47250</c:v>
                </c:pt>
                <c:pt idx="54">
                  <c:v>83666.666666666672</c:v>
                </c:pt>
                <c:pt idx="55">
                  <c:v>62000</c:v>
                </c:pt>
                <c:pt idx="56">
                  <c:v>5000</c:v>
                </c:pt>
                <c:pt idx="57">
                  <c:v>45500</c:v>
                </c:pt>
                <c:pt idx="58">
                  <c:v>60000</c:v>
                </c:pt>
                <c:pt idx="59">
                  <c:v>37500</c:v>
                </c:pt>
                <c:pt idx="60">
                  <c:v>71500</c:v>
                </c:pt>
                <c:pt idx="61">
                  <c:v>10500</c:v>
                </c:pt>
                <c:pt idx="62">
                  <c:v>15250</c:v>
                </c:pt>
                <c:pt idx="63">
                  <c:v>34833.333333333336</c:v>
                </c:pt>
                <c:pt idx="64">
                  <c:v>35000</c:v>
                </c:pt>
                <c:pt idx="65">
                  <c:v>4500</c:v>
                </c:pt>
                <c:pt idx="66">
                  <c:v>8000</c:v>
                </c:pt>
                <c:pt idx="67">
                  <c:v>61250</c:v>
                </c:pt>
                <c:pt idx="68">
                  <c:v>67750</c:v>
                </c:pt>
                <c:pt idx="69">
                  <c:v>5000</c:v>
                </c:pt>
                <c:pt idx="70">
                  <c:v>84500</c:v>
                </c:pt>
                <c:pt idx="71">
                  <c:v>52500</c:v>
                </c:pt>
                <c:pt idx="72">
                  <c:v>50500</c:v>
                </c:pt>
                <c:pt idx="74">
                  <c:v>49500</c:v>
                </c:pt>
                <c:pt idx="75">
                  <c:v>76250</c:v>
                </c:pt>
                <c:pt idx="76">
                  <c:v>79000</c:v>
                </c:pt>
                <c:pt idx="79">
                  <c:v>17500</c:v>
                </c:pt>
                <c:pt idx="80">
                  <c:v>74250</c:v>
                </c:pt>
                <c:pt idx="81">
                  <c:v>29000</c:v>
                </c:pt>
                <c:pt idx="82">
                  <c:v>29500</c:v>
                </c:pt>
                <c:pt idx="83">
                  <c:v>91000</c:v>
                </c:pt>
                <c:pt idx="84">
                  <c:v>67500</c:v>
                </c:pt>
                <c:pt idx="85">
                  <c:v>81000</c:v>
                </c:pt>
                <c:pt idx="86">
                  <c:v>62750</c:v>
                </c:pt>
                <c:pt idx="87">
                  <c:v>48750</c:v>
                </c:pt>
                <c:pt idx="88">
                  <c:v>80000</c:v>
                </c:pt>
                <c:pt idx="89">
                  <c:v>25750</c:v>
                </c:pt>
                <c:pt idx="90">
                  <c:v>89500</c:v>
                </c:pt>
                <c:pt idx="91">
                  <c:v>51000</c:v>
                </c:pt>
                <c:pt idx="92">
                  <c:v>16500</c:v>
                </c:pt>
                <c:pt idx="93">
                  <c:v>18000</c:v>
                </c:pt>
                <c:pt idx="94">
                  <c:v>41500</c:v>
                </c:pt>
                <c:pt idx="96">
                  <c:v>26000</c:v>
                </c:pt>
                <c:pt idx="97">
                  <c:v>69000</c:v>
                </c:pt>
                <c:pt idx="98">
                  <c:v>17000</c:v>
                </c:pt>
                <c:pt idx="99">
                  <c:v>57000</c:v>
                </c:pt>
                <c:pt idx="100">
                  <c:v>73000</c:v>
                </c:pt>
                <c:pt idx="101">
                  <c:v>34500</c:v>
                </c:pt>
                <c:pt idx="102">
                  <c:v>15500</c:v>
                </c:pt>
                <c:pt idx="103">
                  <c:v>41750</c:v>
                </c:pt>
                <c:pt idx="104">
                  <c:v>17000</c:v>
                </c:pt>
                <c:pt idx="105">
                  <c:v>4500</c:v>
                </c:pt>
                <c:pt idx="107">
                  <c:v>8500</c:v>
                </c:pt>
                <c:pt idx="108">
                  <c:v>81500</c:v>
                </c:pt>
                <c:pt idx="109">
                  <c:v>17500</c:v>
                </c:pt>
                <c:pt idx="110">
                  <c:v>65500</c:v>
                </c:pt>
                <c:pt idx="111">
                  <c:v>16250</c:v>
                </c:pt>
                <c:pt idx="112">
                  <c:v>32000</c:v>
                </c:pt>
                <c:pt idx="113">
                  <c:v>83500</c:v>
                </c:pt>
                <c:pt idx="114">
                  <c:v>58250</c:v>
                </c:pt>
                <c:pt idx="115">
                  <c:v>11000</c:v>
                </c:pt>
                <c:pt idx="117">
                  <c:v>18000</c:v>
                </c:pt>
                <c:pt idx="118">
                  <c:v>36500</c:v>
                </c:pt>
                <c:pt idx="119">
                  <c:v>49333.333333333336</c:v>
                </c:pt>
                <c:pt idx="120">
                  <c:v>36000</c:v>
                </c:pt>
                <c:pt idx="121">
                  <c:v>42500</c:v>
                </c:pt>
                <c:pt idx="122">
                  <c:v>89166.666666666672</c:v>
                </c:pt>
                <c:pt idx="123">
                  <c:v>42500</c:v>
                </c:pt>
                <c:pt idx="124">
                  <c:v>4500</c:v>
                </c:pt>
                <c:pt idx="125">
                  <c:v>4500</c:v>
                </c:pt>
                <c:pt idx="126">
                  <c:v>48000</c:v>
                </c:pt>
                <c:pt idx="127">
                  <c:v>11000</c:v>
                </c:pt>
                <c:pt idx="128">
                  <c:v>69666.666666666672</c:v>
                </c:pt>
                <c:pt idx="129">
                  <c:v>38500</c:v>
                </c:pt>
                <c:pt idx="130">
                  <c:v>8500</c:v>
                </c:pt>
                <c:pt idx="131">
                  <c:v>22250</c:v>
                </c:pt>
                <c:pt idx="132">
                  <c:v>42750</c:v>
                </c:pt>
                <c:pt idx="133">
                  <c:v>35000</c:v>
                </c:pt>
                <c:pt idx="134">
                  <c:v>26000</c:v>
                </c:pt>
                <c:pt idx="135">
                  <c:v>20000</c:v>
                </c:pt>
                <c:pt idx="136">
                  <c:v>14000</c:v>
                </c:pt>
                <c:pt idx="137">
                  <c:v>51166.666666666664</c:v>
                </c:pt>
                <c:pt idx="138">
                  <c:v>10500</c:v>
                </c:pt>
                <c:pt idx="139">
                  <c:v>61500</c:v>
                </c:pt>
                <c:pt idx="140">
                  <c:v>35500</c:v>
                </c:pt>
                <c:pt idx="141">
                  <c:v>16500</c:v>
                </c:pt>
                <c:pt idx="142">
                  <c:v>36750</c:v>
                </c:pt>
                <c:pt idx="143">
                  <c:v>48500</c:v>
                </c:pt>
                <c:pt idx="144">
                  <c:v>56000</c:v>
                </c:pt>
                <c:pt idx="145">
                  <c:v>78250</c:v>
                </c:pt>
                <c:pt idx="146">
                  <c:v>44500</c:v>
                </c:pt>
                <c:pt idx="147">
                  <c:v>68166.666666666672</c:v>
                </c:pt>
                <c:pt idx="148">
                  <c:v>41250</c:v>
                </c:pt>
                <c:pt idx="149">
                  <c:v>19500</c:v>
                </c:pt>
                <c:pt idx="150">
                  <c:v>61333.333333333336</c:v>
                </c:pt>
                <c:pt idx="151">
                  <c:v>69000</c:v>
                </c:pt>
                <c:pt idx="152">
                  <c:v>40750</c:v>
                </c:pt>
                <c:pt idx="153">
                  <c:v>69166.666666666672</c:v>
                </c:pt>
                <c:pt idx="154">
                  <c:v>77500</c:v>
                </c:pt>
                <c:pt idx="155">
                  <c:v>33000</c:v>
                </c:pt>
                <c:pt idx="156">
                  <c:v>16000</c:v>
                </c:pt>
                <c:pt idx="157">
                  <c:v>29750</c:v>
                </c:pt>
                <c:pt idx="158">
                  <c:v>33500</c:v>
                </c:pt>
                <c:pt idx="159">
                  <c:v>92500</c:v>
                </c:pt>
                <c:pt idx="160">
                  <c:v>11000</c:v>
                </c:pt>
                <c:pt idx="161">
                  <c:v>62333.333333333336</c:v>
                </c:pt>
                <c:pt idx="162">
                  <c:v>54500</c:v>
                </c:pt>
                <c:pt idx="163">
                  <c:v>69500</c:v>
                </c:pt>
                <c:pt idx="164">
                  <c:v>71000</c:v>
                </c:pt>
                <c:pt idx="165">
                  <c:v>61750</c:v>
                </c:pt>
                <c:pt idx="166">
                  <c:v>79500</c:v>
                </c:pt>
                <c:pt idx="167">
                  <c:v>48500</c:v>
                </c:pt>
                <c:pt idx="168">
                  <c:v>68250</c:v>
                </c:pt>
                <c:pt idx="169">
                  <c:v>46500</c:v>
                </c:pt>
                <c:pt idx="170">
                  <c:v>68000</c:v>
                </c:pt>
                <c:pt idx="171">
                  <c:v>33250</c:v>
                </c:pt>
                <c:pt idx="172">
                  <c:v>77000</c:v>
                </c:pt>
                <c:pt idx="173">
                  <c:v>50500</c:v>
                </c:pt>
                <c:pt idx="174">
                  <c:v>90000</c:v>
                </c:pt>
                <c:pt idx="175">
                  <c:v>96500</c:v>
                </c:pt>
                <c:pt idx="176">
                  <c:v>88000</c:v>
                </c:pt>
                <c:pt idx="177">
                  <c:v>41000</c:v>
                </c:pt>
                <c:pt idx="178">
                  <c:v>61500</c:v>
                </c:pt>
                <c:pt idx="179">
                  <c:v>74500</c:v>
                </c:pt>
                <c:pt idx="180">
                  <c:v>34250</c:v>
                </c:pt>
                <c:pt idx="181">
                  <c:v>3100</c:v>
                </c:pt>
                <c:pt idx="182">
                  <c:v>13000</c:v>
                </c:pt>
                <c:pt idx="183">
                  <c:v>97500</c:v>
                </c:pt>
                <c:pt idx="185">
                  <c:v>48000</c:v>
                </c:pt>
                <c:pt idx="188">
                  <c:v>86500</c:v>
                </c:pt>
                <c:pt idx="189">
                  <c:v>33000</c:v>
                </c:pt>
                <c:pt idx="190">
                  <c:v>73500</c:v>
                </c:pt>
                <c:pt idx="192">
                  <c:v>39000</c:v>
                </c:pt>
                <c:pt idx="194">
                  <c:v>48000</c:v>
                </c:pt>
                <c:pt idx="198">
                  <c:v>38000</c:v>
                </c:pt>
                <c:pt idx="199">
                  <c:v>26500</c:v>
                </c:pt>
                <c:pt idx="202">
                  <c:v>81500</c:v>
                </c:pt>
                <c:pt idx="204">
                  <c:v>83500</c:v>
                </c:pt>
                <c:pt idx="205">
                  <c:v>89000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B-4D39-B072-EA9794054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2360"/>
        <c:axId val="2072773639"/>
      </c:scatterChart>
      <c:valAx>
        <c:axId val="4132360"/>
        <c:scaling>
          <c:orientation val="minMax"/>
          <c:max val="3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Renda Mensal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773639"/>
        <c:crosses val="autoZero"/>
        <c:crossBetween val="midCat"/>
      </c:valAx>
      <c:valAx>
        <c:axId val="2072773639"/>
        <c:scaling>
          <c:orientation val="minMax"/>
          <c:max val="1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 Solicitado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38100</xdr:rowOff>
    </xdr:from>
    <xdr:to>
      <xdr:col>2</xdr:col>
      <xdr:colOff>1619250</xdr:colOff>
      <xdr:row>22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A33A9A-FC82-9F3E-E257-0B25E0135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1933575</xdr:colOff>
      <xdr:row>8</xdr:row>
      <xdr:rowOff>0</xdr:rowOff>
    </xdr:from>
    <xdr:to>
      <xdr:col>4</xdr:col>
      <xdr:colOff>2590800</xdr:colOff>
      <xdr:row>22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B15FCD-DD66-8478-7C37-14178902BD7B}"/>
            </a:ext>
            <a:ext uri="{147F2762-F138-4A5C-976F-8EAC2B608ADB}">
              <a16:predDERef xmlns:a16="http://schemas.microsoft.com/office/drawing/2014/main" pred="{52A33A9A-FC82-9F3E-E257-0B25E0135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3295650</xdr:colOff>
      <xdr:row>8</xdr:row>
      <xdr:rowOff>133350</xdr:rowOff>
    </xdr:from>
    <xdr:to>
      <xdr:col>6</xdr:col>
      <xdr:colOff>1000125</xdr:colOff>
      <xdr:row>23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239C270-DCE9-F3F6-ED08-189F8621557E}"/>
            </a:ext>
            <a:ext uri="{147F2762-F138-4A5C-976F-8EAC2B608ADB}">
              <a16:predDERef xmlns:a16="http://schemas.microsoft.com/office/drawing/2014/main" pred="{38B15FCD-DD66-8478-7C37-14178902B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7.877508680554" createdVersion="8" refreshedVersion="8" minRefreshableVersion="3" recordCount="402" xr:uid="{8ABF8E4B-65EC-4E34-A001-33DA77D57C42}">
  <cacheSource type="worksheet">
    <worksheetSource ref="H1:O1048576" sheet="Dados_Limpos"/>
  </cacheSource>
  <cacheFields count="8">
    <cacheField name="Renda_mensal" numFmtId="0">
      <sharedItems containsString="0" containsBlank="1" containsNumber="1" containsInteger="1" minValue="1900" maxValue="2970000" count="213">
        <n v="28400"/>
        <n v="23800"/>
        <n v="8100"/>
        <n v="16600"/>
        <n v="6800"/>
        <n v="11100"/>
        <n v="5100"/>
        <n v="3800"/>
        <n v="14900"/>
        <n v="16800"/>
        <n v="27100"/>
        <n v="21600"/>
        <n v="25200"/>
        <n v="16300"/>
        <n v="16100"/>
        <n v="19400"/>
        <n v="21500"/>
        <n v="13800"/>
        <n v="8400"/>
        <n v="19900"/>
        <n v="17600"/>
        <n v="28900"/>
        <n v="22100"/>
        <n v="24500"/>
        <n v="24300"/>
        <n v="2970000"/>
        <m/>
        <n v="11800"/>
        <n v="18200"/>
        <n v="17900"/>
        <n v="4500"/>
        <n v="18500"/>
        <n v="8000"/>
        <n v="29200"/>
        <n v="4400"/>
        <n v="19500"/>
        <n v="17500"/>
        <n v="11900"/>
        <n v="9300"/>
        <n v="11300"/>
        <n v="10700"/>
        <n v="9500"/>
        <n v="8600"/>
        <n v="24700"/>
        <n v="6600"/>
        <n v="5300"/>
        <n v="6900"/>
        <n v="18400"/>
        <n v="26800"/>
        <n v="3600"/>
        <n v="20300"/>
        <n v="28000"/>
        <n v="16000"/>
        <n v="22900"/>
        <n v="29300"/>
        <n v="11200"/>
        <n v="14000"/>
        <n v="2900"/>
        <n v="21900"/>
        <n v="21300"/>
        <n v="28800"/>
        <n v="7300"/>
        <n v="1900"/>
        <n v="28200"/>
        <n v="10100"/>
        <n v="29700"/>
        <n v="15000"/>
        <n v="9800"/>
        <n v="1580000"/>
        <n v="10200"/>
        <n v="15800"/>
        <n v="22500"/>
        <n v="20800"/>
        <n v="3300"/>
        <n v="24000"/>
        <n v="7100"/>
        <n v="22700"/>
        <n v="9200"/>
        <n v="6100"/>
        <n v="6400"/>
        <n v="2500"/>
        <n v="15600"/>
        <n v="6300"/>
        <n v="11600"/>
        <n v="13500"/>
        <n v="2300"/>
        <n v="22600"/>
        <n v="3900"/>
        <n v="18700"/>
        <n v="3200"/>
        <n v="165000"/>
        <n v="14200"/>
        <n v="13900"/>
        <n v="2400"/>
        <n v="2800"/>
        <n v="18000"/>
        <n v="29900"/>
        <n v="15500"/>
        <n v="9700"/>
        <n v="23600"/>
        <n v="1240000"/>
        <n v="20900"/>
        <n v="23400"/>
        <n v="14300"/>
        <n v="9900"/>
        <n v="13300"/>
        <n v="29000"/>
        <n v="20100"/>
        <n v="11400"/>
        <n v="30000"/>
        <n v="28600"/>
        <n v="8900"/>
        <n v="20000"/>
        <n v="12200"/>
        <n v="27300"/>
        <n v="18900"/>
        <n v="23200"/>
        <n v="10000"/>
        <n v="24900"/>
        <n v="25000"/>
        <n v="12400"/>
        <n v="10400"/>
        <n v="22200"/>
        <n v="21700"/>
        <n v="12800"/>
        <n v="2600"/>
        <n v="11500"/>
        <n v="13200"/>
        <n v="22800"/>
        <n v="17400"/>
        <n v="14600"/>
        <n v="8200"/>
        <n v="7200"/>
        <n v="25400"/>
        <n v="29800"/>
        <n v="2000"/>
        <n v="26500"/>
        <n v="24400"/>
        <n v="14500"/>
        <n v="6700"/>
        <n v="23900"/>
        <n v="16200"/>
        <n v="29500"/>
        <n v="14700"/>
        <n v="25100"/>
        <n v="14400"/>
        <n v="16500"/>
        <n v="16400"/>
        <n v="10500"/>
        <n v="20500"/>
        <n v="28300"/>
        <n v="17000"/>
        <n v="6000"/>
        <n v="5000"/>
        <n v="9400"/>
        <n v="2130000"/>
        <n v="28100"/>
        <n v="20200"/>
        <n v="7000"/>
        <n v="9600"/>
        <n v="29100"/>
        <n v="560000"/>
        <n v="26300"/>
        <n v="14100"/>
        <n v="17800"/>
        <n v="23000"/>
        <n v="23100"/>
        <n v="18300"/>
        <n v="26400"/>
        <n v="2630000"/>
        <n v="20600"/>
        <n v="8500"/>
        <n v="12900"/>
        <n v="21100"/>
        <n v="21000"/>
        <n v="20700"/>
        <n v="3400"/>
        <n v="25900"/>
        <n v="28500"/>
        <n v="12700"/>
        <n v="17300"/>
        <n v="3500"/>
        <n v="5500"/>
        <n v="4800"/>
        <n v="4000"/>
        <n v="18100"/>
        <n v="21200"/>
        <n v="15100"/>
        <n v="6500"/>
        <n v="4100"/>
        <n v="940000"/>
        <n v="12600"/>
        <n v="12500"/>
        <n v="11000"/>
        <n v="8800"/>
        <n v="9000"/>
        <n v="27600"/>
        <n v="27800"/>
        <n v="13400"/>
        <n v="19800"/>
        <n v="26000"/>
        <n v="28700"/>
        <n v="20400"/>
        <n v="27500"/>
        <n v="8700"/>
        <n v="15200"/>
        <n v="16900"/>
        <n v="24100"/>
        <n v="2310000"/>
        <n v="5400"/>
        <n v="25700"/>
        <n v="9100"/>
        <n v="2100"/>
      </sharedItems>
    </cacheField>
    <cacheField name="credito_tomado" numFmtId="0">
      <sharedItems containsString="0" containsBlank="1" containsNumber="1" containsInteger="1" minValue="1000" maxValue="80000"/>
    </cacheField>
    <cacheField name="flag_inadimplente" numFmtId="0">
      <sharedItems containsBlank="1"/>
    </cacheField>
    <cacheField name="qtde_batalhas" numFmtId="0">
      <sharedItems containsString="0" containsBlank="1" containsNumber="1" containsInteger="1" minValue="0" maxValue="45"/>
    </cacheField>
    <cacheField name="nivel_risco" numFmtId="0">
      <sharedItems containsBlank="1"/>
    </cacheField>
    <cacheField name="análise_risco" numFmtId="0">
      <sharedItems containsBlank="1"/>
    </cacheField>
    <cacheField name="análise_credito" numFmtId="0">
      <sharedItems containsBlank="1"/>
    </cacheField>
    <cacheField name="valor_solicitado" numFmtId="0">
      <sharedItems containsString="0" containsBlank="1" containsNumber="1" containsInteger="1" minValue="1000" maxValue="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7.877508680554" createdVersion="8" refreshedVersion="8" minRefreshableVersion="3" recordCount="402" xr:uid="{454C3DAA-CCDF-46EC-BAA6-0F323B62E58A}">
  <cacheSource type="worksheet">
    <worksheetSource ref="J1:J1048576" sheet="Dados_Limpos"/>
  </cacheSource>
  <cacheFields count="1">
    <cacheField name="flag_inadimplente" numFmtId="0">
      <sharedItems containsBlank="1" count="5">
        <s v="Não"/>
        <s v="Sim"/>
        <s v="N/A"/>
        <m/>
        <s v=" Sim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7.877508680554" createdVersion="8" refreshedVersion="8" minRefreshableVersion="3" recordCount="402" xr:uid="{9AE86E46-7CF5-49DF-B20E-8AAB4C082BA0}">
  <cacheSource type="worksheet">
    <worksheetSource ref="A1:P1048576" sheet="Dados_Limpos"/>
  </cacheSource>
  <cacheFields count="16">
    <cacheField name="Status" numFmtId="0">
      <sharedItems containsBlank="1"/>
    </cacheField>
    <cacheField name="Nome" numFmtId="0">
      <sharedItems containsBlank="1"/>
    </cacheField>
    <cacheField name="CPF" numFmtId="0">
      <sharedItems containsBlank="1"/>
    </cacheField>
    <cacheField name="Idade" numFmtId="0">
      <sharedItems containsString="0" containsBlank="1" containsNumber="1" containsInteger="1" minValue="18" maxValue="74"/>
    </cacheField>
    <cacheField name="Data_nascimento" numFmtId="14">
      <sharedItems containsBlank="1"/>
    </cacheField>
    <cacheField name="Cidade" numFmtId="0">
      <sharedItems containsBlank="1"/>
    </cacheField>
    <cacheField name="Região" numFmtId="0">
      <sharedItems containsBlank="1"/>
    </cacheField>
    <cacheField name="Renda_mensal" numFmtId="0">
      <sharedItems containsString="0" containsBlank="1" containsNumber="1" containsInteger="1" minValue="1900" maxValue="2970000"/>
    </cacheField>
    <cacheField name="credito_tomado" numFmtId="0">
      <sharedItems containsString="0" containsBlank="1" containsNumber="1" containsInteger="1" minValue="1000" maxValue="80000"/>
    </cacheField>
    <cacheField name="flag_inadimplente" numFmtId="0">
      <sharedItems containsBlank="1" count="5">
        <s v="Não"/>
        <s v="Sim"/>
        <s v="N/A"/>
        <m/>
        <s v=" Sim" u="1"/>
      </sharedItems>
    </cacheField>
    <cacheField name="qtde_batalhas" numFmtId="0">
      <sharedItems containsString="0" containsBlank="1" containsNumber="1" containsInteger="1" minValue="0" maxValue="45"/>
    </cacheField>
    <cacheField name="nivel_risco" numFmtId="0">
      <sharedItems containsBlank="1" count="4">
        <s v="Alto"/>
        <s v="Baixo"/>
        <s v="Médio"/>
        <m/>
      </sharedItems>
    </cacheField>
    <cacheField name="análise_risco" numFmtId="0">
      <sharedItems containsBlank="1"/>
    </cacheField>
    <cacheField name="análise_credito" numFmtId="0">
      <sharedItems containsBlank="1"/>
    </cacheField>
    <cacheField name="valor_solicitado" numFmtId="0">
      <sharedItems containsString="0" containsBlank="1" containsNumber="1" containsInteger="1" minValue="1000" maxValue="100000"/>
    </cacheField>
    <cacheField name="liberação_de_credito" numFmtId="164">
      <sharedItems containsString="0" containsBlank="1" containsNumber="1" minValue="0" maxValue="10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">
  <r>
    <x v="0"/>
    <n v="59500"/>
    <s v="Não"/>
    <n v="37"/>
    <s v="Alto"/>
    <s v="Passa"/>
    <s v="Passa"/>
    <n v="86500"/>
  </r>
  <r>
    <x v="1"/>
    <n v="62000"/>
    <s v="Sim"/>
    <n v="37"/>
    <s v="Alto"/>
    <s v="Negada"/>
    <s v="Negada"/>
    <n v="92500"/>
  </r>
  <r>
    <x v="2"/>
    <n v="41000"/>
    <s v="N/A"/>
    <m/>
    <s v="Baixo"/>
    <s v="Passa"/>
    <s v="Passa"/>
    <m/>
  </r>
  <r>
    <x v="3"/>
    <n v="15000"/>
    <s v="Não"/>
    <n v="42"/>
    <s v="Alto"/>
    <s v="Passa"/>
    <s v="Passa"/>
    <n v="8500"/>
  </r>
  <r>
    <x v="4"/>
    <n v="44000"/>
    <s v="Não"/>
    <n v="22"/>
    <s v="Médio"/>
    <s v="Passa"/>
    <s v="Passa"/>
    <n v="56500"/>
  </r>
  <r>
    <x v="5"/>
    <n v="32500"/>
    <s v="Não"/>
    <n v="40"/>
    <s v="Alto"/>
    <s v="Passa"/>
    <s v="Passa"/>
    <n v="4500"/>
  </r>
  <r>
    <x v="6"/>
    <n v="49500"/>
    <s v="Sim"/>
    <n v="27"/>
    <s v="Alto"/>
    <s v="Negada"/>
    <s v="Passa"/>
    <n v="23000"/>
  </r>
  <r>
    <x v="7"/>
    <n v="51500"/>
    <s v="Sim"/>
    <n v="44"/>
    <s v="Alto"/>
    <s v="Negada"/>
    <s v="Negada"/>
    <n v="24000"/>
  </r>
  <r>
    <x v="8"/>
    <n v="69000"/>
    <s v="Não"/>
    <n v="15"/>
    <s v="Médio"/>
    <s v="Passa"/>
    <s v="Passa"/>
    <n v="39500"/>
  </r>
  <r>
    <x v="9"/>
    <n v="15000"/>
    <s v="N/A"/>
    <m/>
    <s v="Baixo"/>
    <s v="Passa"/>
    <s v="Passa"/>
    <m/>
  </r>
  <r>
    <x v="10"/>
    <n v="60500"/>
    <s v="N/A"/>
    <n v="15"/>
    <s v="Médio"/>
    <s v="Passa"/>
    <s v="Passa"/>
    <n v="74500"/>
  </r>
  <r>
    <x v="11"/>
    <m/>
    <s v="Não"/>
    <n v="13"/>
    <s v="Médio"/>
    <s v="Passa"/>
    <s v="Passa"/>
    <n v="70000"/>
  </r>
  <r>
    <x v="7"/>
    <n v="51500"/>
    <s v="Não"/>
    <n v="14"/>
    <s v="Médio"/>
    <s v="Passa"/>
    <s v="Passa"/>
    <n v="29500"/>
  </r>
  <r>
    <x v="12"/>
    <m/>
    <s v="Não"/>
    <n v="18"/>
    <s v="Médio"/>
    <s v="Passa"/>
    <s v="Passa"/>
    <n v="64000"/>
  </r>
  <r>
    <x v="13"/>
    <n v="16000"/>
    <s v="N/A"/>
    <n v="32"/>
    <s v="Alto"/>
    <s v="Passa"/>
    <s v="Passa"/>
    <n v="31500"/>
  </r>
  <r>
    <x v="14"/>
    <n v="16500"/>
    <s v="Sim"/>
    <n v="38"/>
    <s v="Alto"/>
    <s v="Negada"/>
    <s v="Passa"/>
    <n v="15500"/>
  </r>
  <r>
    <x v="15"/>
    <n v="66000"/>
    <s v="N/A"/>
    <n v="11"/>
    <s v="Médio"/>
    <s v="Passa"/>
    <s v="Passa"/>
    <n v="4500"/>
  </r>
  <r>
    <x v="16"/>
    <m/>
    <s v="Não"/>
    <n v="3"/>
    <s v="Baixo"/>
    <s v="Passa"/>
    <s v="Passa"/>
    <n v="48500"/>
  </r>
  <r>
    <x v="17"/>
    <n v="23000"/>
    <s v="N/A"/>
    <m/>
    <s v="Baixo"/>
    <s v="Passa"/>
    <s v="Passa"/>
    <m/>
  </r>
  <r>
    <x v="18"/>
    <n v="76500"/>
    <s v="Sim"/>
    <n v="33"/>
    <s v="Alto"/>
    <s v="Negada"/>
    <s v="Negada"/>
    <n v="26000"/>
  </r>
  <r>
    <x v="19"/>
    <n v="66000"/>
    <s v="Não"/>
    <n v="24"/>
    <s v="Médio"/>
    <s v="Passa"/>
    <s v="Passa"/>
    <n v="72000"/>
  </r>
  <r>
    <x v="20"/>
    <n v="12000"/>
    <s v="Sim"/>
    <n v="27"/>
    <s v="Alto"/>
    <s v="Negada"/>
    <s v="Passa"/>
    <n v="67500"/>
  </r>
  <r>
    <x v="21"/>
    <m/>
    <s v="N/A"/>
    <m/>
    <s v="Baixo"/>
    <s v="Passa"/>
    <s v="Passa"/>
    <m/>
  </r>
  <r>
    <x v="22"/>
    <n v="63000"/>
    <s v="Não"/>
    <n v="0"/>
    <s v="Baixo"/>
    <s v="Passa"/>
    <s v="Passa"/>
    <n v="56000"/>
  </r>
  <r>
    <x v="23"/>
    <n v="62000"/>
    <s v="Não"/>
    <n v="22"/>
    <s v="Médio"/>
    <s v="Passa"/>
    <s v="Passa"/>
    <n v="62000"/>
  </r>
  <r>
    <x v="24"/>
    <m/>
    <s v="Sim"/>
    <n v="31"/>
    <s v="Alto"/>
    <s v="Negada"/>
    <s v="Passa"/>
    <n v="89500"/>
  </r>
  <r>
    <x v="25"/>
    <m/>
    <s v="N/A"/>
    <m/>
    <s v="Baixo"/>
    <s v="Passa"/>
    <s v="Passa"/>
    <m/>
  </r>
  <r>
    <x v="26"/>
    <m/>
    <s v="N/A"/>
    <m/>
    <s v="Baixo"/>
    <s v="Passa"/>
    <s v="Passa"/>
    <m/>
  </r>
  <r>
    <x v="27"/>
    <n v="28000"/>
    <s v="Não"/>
    <n v="41"/>
    <s v="Alto"/>
    <s v="Passa"/>
    <s v="Passa"/>
    <n v="52500"/>
  </r>
  <r>
    <x v="28"/>
    <n v="8000"/>
    <s v="Sim"/>
    <n v="30"/>
    <s v="Alto"/>
    <s v="Negada"/>
    <s v="Passa"/>
    <n v="27000"/>
  </r>
  <r>
    <x v="29"/>
    <n v="67500"/>
    <s v="N/A"/>
    <m/>
    <s v="Baixo"/>
    <s v="Passa"/>
    <s v="Passa"/>
    <m/>
  </r>
  <r>
    <x v="30"/>
    <n v="49500"/>
    <s v="Não"/>
    <n v="25"/>
    <s v="Médio"/>
    <s v="Passa"/>
    <s v="Passa"/>
    <n v="46500"/>
  </r>
  <r>
    <x v="31"/>
    <n v="6500"/>
    <s v="Não"/>
    <n v="1"/>
    <s v="Baixo"/>
    <s v="Passa"/>
    <s v="Passa"/>
    <n v="98500"/>
  </r>
  <r>
    <x v="26"/>
    <m/>
    <s v="N/A"/>
    <m/>
    <s v="Baixo"/>
    <s v="Passa"/>
    <s v="Passa"/>
    <m/>
  </r>
  <r>
    <x v="32"/>
    <n v="41000"/>
    <s v="N/A"/>
    <m/>
    <s v="Baixo"/>
    <s v="Passa"/>
    <s v="Passa"/>
    <m/>
  </r>
  <r>
    <x v="33"/>
    <m/>
    <s v="N/A"/>
    <m/>
    <s v="Baixo"/>
    <s v="Passa"/>
    <s v="Passa"/>
    <m/>
  </r>
  <r>
    <x v="34"/>
    <n v="50000"/>
    <s v="Sim"/>
    <n v="9"/>
    <s v="Baixo"/>
    <s v="Passa"/>
    <s v="Passa"/>
    <n v="25000"/>
  </r>
  <r>
    <x v="26"/>
    <m/>
    <s v="N/A"/>
    <m/>
    <s v="Baixo"/>
    <s v="Passa"/>
    <s v="Passa"/>
    <m/>
  </r>
  <r>
    <x v="35"/>
    <n v="5500"/>
    <s v="Não"/>
    <n v="35"/>
    <s v="Alto"/>
    <s v="Passa"/>
    <s v="Passa"/>
    <n v="21000"/>
  </r>
  <r>
    <x v="36"/>
    <n v="12500"/>
    <s v="Não"/>
    <n v="41"/>
    <s v="Alto"/>
    <s v="Passa"/>
    <s v="Passa"/>
    <n v="99500"/>
  </r>
  <r>
    <x v="37"/>
    <n v="27500"/>
    <s v="Não"/>
    <n v="42"/>
    <s v="Alto"/>
    <s v="Passa"/>
    <s v="Passa"/>
    <n v="72500"/>
  </r>
  <r>
    <x v="38"/>
    <n v="75000"/>
    <s v="Não"/>
    <n v="6"/>
    <s v="Baixo"/>
    <s v="Passa"/>
    <s v="Passa"/>
    <n v="63500"/>
  </r>
  <r>
    <x v="39"/>
    <n v="32000"/>
    <s v="Sim"/>
    <n v="26"/>
    <s v="Alto"/>
    <s v="Negada"/>
    <s v="Passa"/>
    <n v="59000"/>
  </r>
  <r>
    <x v="40"/>
    <n v="34500"/>
    <s v="Não"/>
    <n v="29"/>
    <s v="Alto"/>
    <s v="Passa"/>
    <s v="Passa"/>
    <n v="10500"/>
  </r>
  <r>
    <x v="41"/>
    <n v="38500"/>
    <s v="Não"/>
    <n v="7"/>
    <s v="Baixo"/>
    <s v="Passa"/>
    <s v="Passa"/>
    <n v="11000"/>
  </r>
  <r>
    <x v="42"/>
    <n v="40500"/>
    <s v="Não"/>
    <n v="43"/>
    <s v="Alto"/>
    <s v="Passa"/>
    <s v="Passa"/>
    <n v="24500"/>
  </r>
  <r>
    <x v="37"/>
    <n v="27000"/>
    <s v="Não"/>
    <n v="28"/>
    <s v="Alto"/>
    <s v="Passa"/>
    <s v="Passa"/>
    <n v="28500"/>
  </r>
  <r>
    <x v="7"/>
    <n v="51000"/>
    <s v="Não"/>
    <n v="10"/>
    <s v="Baixo"/>
    <s v="Passa"/>
    <s v="Passa"/>
    <n v="90500"/>
  </r>
  <r>
    <x v="43"/>
    <m/>
    <s v="N/A"/>
    <n v="11"/>
    <s v="Médio"/>
    <s v="Passa"/>
    <s v="Passa"/>
    <n v="75500"/>
  </r>
  <r>
    <x v="44"/>
    <n v="44500"/>
    <s v="Não"/>
    <n v="45"/>
    <s v="Alto"/>
    <s v="Passa"/>
    <s v="Passa"/>
    <n v="3000"/>
  </r>
  <r>
    <x v="45"/>
    <n v="48500"/>
    <s v="N/A"/>
    <m/>
    <s v="Baixo"/>
    <s v="Passa"/>
    <s v="Passa"/>
    <m/>
  </r>
  <r>
    <x v="46"/>
    <n v="43500"/>
    <s v="Não"/>
    <n v="27"/>
    <s v="Alto"/>
    <s v="Passa"/>
    <s v="Passa"/>
    <n v="23500"/>
  </r>
  <r>
    <x v="47"/>
    <n v="66500"/>
    <s v="Sim"/>
    <n v="38"/>
    <s v="Alto"/>
    <s v="Negada"/>
    <s v="Negada"/>
    <n v="42500"/>
  </r>
  <r>
    <x v="48"/>
    <m/>
    <s v="Não"/>
    <n v="21"/>
    <s v="Médio"/>
    <s v="Passa"/>
    <s v="Passa"/>
    <n v="61500"/>
  </r>
  <r>
    <x v="49"/>
    <n v="52000"/>
    <s v="Não"/>
    <n v="30"/>
    <s v="Alto"/>
    <s v="Passa"/>
    <s v="Passa"/>
    <n v="62500"/>
  </r>
  <r>
    <x v="50"/>
    <n v="3500"/>
    <s v="Não"/>
    <n v="19"/>
    <s v="Médio"/>
    <s v="Passa"/>
    <s v="Passa"/>
    <n v="62000"/>
  </r>
  <r>
    <x v="50"/>
    <n v="3500"/>
    <s v="Não"/>
    <n v="1"/>
    <s v="Baixo"/>
    <s v="Passa"/>
    <s v="Passa"/>
    <n v="23500"/>
  </r>
  <r>
    <x v="51"/>
    <m/>
    <s v="N/A"/>
    <m/>
    <s v="Baixo"/>
    <s v="Passa"/>
    <s v="Passa"/>
    <m/>
  </r>
  <r>
    <x v="52"/>
    <n v="16500"/>
    <s v="Não"/>
    <n v="22"/>
    <s v="Médio"/>
    <s v="Passa"/>
    <s v="Passa"/>
    <n v="34500"/>
  </r>
  <r>
    <x v="53"/>
    <m/>
    <s v="Não"/>
    <n v="23"/>
    <s v="Médio"/>
    <s v="Passa"/>
    <s v="Passa"/>
    <n v="68000"/>
  </r>
  <r>
    <x v="17"/>
    <n v="70000"/>
    <s v="Sim"/>
    <n v="14"/>
    <s v="Médio"/>
    <s v="Passa"/>
    <s v="Negada"/>
    <n v="25500"/>
  </r>
  <r>
    <x v="5"/>
    <n v="73500"/>
    <s v="N/A"/>
    <m/>
    <s v="Baixo"/>
    <s v="Passa"/>
    <s v="Passa"/>
    <m/>
  </r>
  <r>
    <x v="23"/>
    <m/>
    <s v="N/A"/>
    <n v="32"/>
    <s v="Alto"/>
    <s v="Passa"/>
    <s v="Passa"/>
    <n v="61500"/>
  </r>
  <r>
    <x v="17"/>
    <n v="70500"/>
    <s v="Não"/>
    <n v="33"/>
    <s v="Alto"/>
    <s v="Passa"/>
    <s v="Passa"/>
    <n v="78000"/>
  </r>
  <r>
    <x v="54"/>
    <m/>
    <s v="N/A"/>
    <m/>
    <s v="Baixo"/>
    <s v="Passa"/>
    <s v="Passa"/>
    <m/>
  </r>
  <r>
    <x v="55"/>
    <n v="32500"/>
    <s v="Sim"/>
    <n v="15"/>
    <s v="Médio"/>
    <s v="Passa"/>
    <s v="Passa"/>
    <n v="8000"/>
  </r>
  <r>
    <x v="56"/>
    <n v="22000"/>
    <s v="Não"/>
    <n v="10"/>
    <s v="Baixo"/>
    <s v="Passa"/>
    <s v="Passa"/>
    <n v="97000"/>
  </r>
  <r>
    <x v="57"/>
    <n v="78500"/>
    <s v="Não"/>
    <n v="34"/>
    <s v="Alto"/>
    <s v="Passa"/>
    <s v="Passa"/>
    <n v="23000"/>
  </r>
  <r>
    <x v="35"/>
    <n v="5500"/>
    <s v="Não"/>
    <n v="11"/>
    <s v="Médio"/>
    <s v="Passa"/>
    <s v="Passa"/>
    <n v="56000"/>
  </r>
  <r>
    <x v="35"/>
    <n v="5500"/>
    <s v="Não"/>
    <n v="23"/>
    <s v="Médio"/>
    <s v="Passa"/>
    <s v="Passa"/>
    <n v="67000"/>
  </r>
  <r>
    <x v="41"/>
    <n v="38000"/>
    <s v="Sim"/>
    <n v="41"/>
    <s v="Alto"/>
    <s v="Negada"/>
    <s v="Passa"/>
    <n v="83500"/>
  </r>
  <r>
    <x v="12"/>
    <m/>
    <s v="Não"/>
    <n v="38"/>
    <s v="Alto"/>
    <s v="Passa"/>
    <s v="Passa"/>
    <n v="72000"/>
  </r>
  <r>
    <x v="58"/>
    <m/>
    <s v="Não"/>
    <n v="38"/>
    <s v="Alto"/>
    <s v="Passa"/>
    <s v="Passa"/>
    <n v="44500"/>
  </r>
  <r>
    <x v="59"/>
    <m/>
    <s v="Não"/>
    <n v="39"/>
    <s v="Alto"/>
    <s v="Passa"/>
    <s v="Passa"/>
    <n v="75000"/>
  </r>
  <r>
    <x v="60"/>
    <n v="59000"/>
    <s v="Sim"/>
    <n v="35"/>
    <s v="Alto"/>
    <s v="Negada"/>
    <s v="Negada"/>
    <n v="39000"/>
  </r>
  <r>
    <x v="61"/>
    <n v="41500"/>
    <s v="Não"/>
    <n v="18"/>
    <s v="Médio"/>
    <s v="Passa"/>
    <s v="Passa"/>
    <n v="65000"/>
  </r>
  <r>
    <x v="26"/>
    <m/>
    <s v="N/A"/>
    <m/>
    <s v="Baixo"/>
    <s v="Passa"/>
    <s v="Passa"/>
    <m/>
  </r>
  <r>
    <x v="62"/>
    <n v="56000"/>
    <s v="Não"/>
    <n v="6"/>
    <s v="Baixo"/>
    <s v="Passa"/>
    <s v="Passa"/>
    <n v="77000"/>
  </r>
  <r>
    <x v="63"/>
    <m/>
    <s v="N/A"/>
    <m/>
    <s v="Baixo"/>
    <s v="Passa"/>
    <s v="Passa"/>
    <m/>
  </r>
  <r>
    <x v="38"/>
    <n v="39000"/>
    <s v="Não"/>
    <n v="25"/>
    <s v="Médio"/>
    <s v="Passa"/>
    <s v="Passa"/>
    <n v="88500"/>
  </r>
  <r>
    <x v="64"/>
    <n v="36000"/>
    <s v="Não"/>
    <n v="19"/>
    <s v="Médio"/>
    <s v="Passa"/>
    <s v="Passa"/>
    <n v="37500"/>
  </r>
  <r>
    <x v="65"/>
    <n v="58000"/>
    <s v="N/A"/>
    <n v="5"/>
    <s v="Baixo"/>
    <s v="Passa"/>
    <s v="Passa"/>
    <n v="26500"/>
  </r>
  <r>
    <x v="66"/>
    <n v="17500"/>
    <s v="N/A"/>
    <m/>
    <s v="Baixo"/>
    <s v="Passa"/>
    <s v="Passa"/>
    <m/>
  </r>
  <r>
    <x v="67"/>
    <n v="36500"/>
    <s v="Não"/>
    <n v="13"/>
    <s v="Médio"/>
    <s v="Passa"/>
    <s v="Passa"/>
    <n v="5000"/>
  </r>
  <r>
    <x v="68"/>
    <m/>
    <s v="N/A"/>
    <m/>
    <s v="Baixo"/>
    <s v="Passa"/>
    <s v="Passa"/>
    <m/>
  </r>
  <r>
    <x v="13"/>
    <n v="15500"/>
    <s v="N/A"/>
    <n v="2"/>
    <s v="Baixo"/>
    <s v="Passa"/>
    <s v="Passa"/>
    <n v="2500"/>
  </r>
  <r>
    <x v="69"/>
    <n v="36000"/>
    <s v="Não"/>
    <n v="3"/>
    <s v="Baixo"/>
    <s v="Passa"/>
    <s v="Passa"/>
    <n v="71500"/>
  </r>
  <r>
    <x v="65"/>
    <m/>
    <s v="N/A"/>
    <m/>
    <s v="Baixo"/>
    <s v="Passa"/>
    <s v="Passa"/>
    <m/>
  </r>
  <r>
    <x v="70"/>
    <n v="16500"/>
    <s v="Não"/>
    <n v="25"/>
    <s v="Médio"/>
    <s v="Passa"/>
    <s v="Passa"/>
    <n v="65500"/>
  </r>
  <r>
    <x v="33"/>
    <m/>
    <s v="N/A"/>
    <m/>
    <s v="Baixo"/>
    <s v="Passa"/>
    <s v="Passa"/>
    <m/>
  </r>
  <r>
    <x v="71"/>
    <m/>
    <s v="Não"/>
    <n v="20"/>
    <s v="Médio"/>
    <s v="Passa"/>
    <s v="Passa"/>
    <n v="19500"/>
  </r>
  <r>
    <x v="72"/>
    <n v="1000"/>
    <s v="Não"/>
    <n v="27"/>
    <s v="Alto"/>
    <s v="Passa"/>
    <s v="Passa"/>
    <n v="50000"/>
  </r>
  <r>
    <x v="73"/>
    <n v="53500"/>
    <s v="N/A"/>
    <m/>
    <s v="Baixo"/>
    <s v="Passa"/>
    <s v="Passa"/>
    <m/>
  </r>
  <r>
    <x v="26"/>
    <m/>
    <s v="Não"/>
    <m/>
    <s v="Baixo"/>
    <s v="Passa"/>
    <s v="Passa"/>
    <n v="28500"/>
  </r>
  <r>
    <x v="74"/>
    <m/>
    <s v="Sim"/>
    <n v="32"/>
    <s v="Alto"/>
    <s v="Negada"/>
    <s v="Passa"/>
    <n v="56500"/>
  </r>
  <r>
    <x v="75"/>
    <n v="42500"/>
    <s v="Sim"/>
    <n v="26"/>
    <s v="Alto"/>
    <s v="Negada"/>
    <s v="Passa"/>
    <n v="12500"/>
  </r>
  <r>
    <x v="28"/>
    <n v="67500"/>
    <s v="Não"/>
    <n v="12"/>
    <s v="Médio"/>
    <s v="Passa"/>
    <s v="Passa"/>
    <n v="97500"/>
  </r>
  <r>
    <x v="26"/>
    <m/>
    <s v="N/A"/>
    <m/>
    <s v="Baixo"/>
    <s v="Passa"/>
    <s v="Passa"/>
    <m/>
  </r>
  <r>
    <x v="76"/>
    <m/>
    <s v="Não"/>
    <n v="41"/>
    <s v="Alto"/>
    <s v="Passa"/>
    <s v="Passa"/>
    <n v="54500"/>
  </r>
  <r>
    <x v="77"/>
    <n v="39500"/>
    <s v="Não"/>
    <n v="18"/>
    <s v="Médio"/>
    <s v="Passa"/>
    <s v="Passa"/>
    <n v="32000"/>
  </r>
  <r>
    <x v="78"/>
    <n v="47500"/>
    <s v="N/A"/>
    <m/>
    <s v="Baixo"/>
    <s v="Passa"/>
    <s v="Passa"/>
    <m/>
  </r>
  <r>
    <x v="65"/>
    <m/>
    <s v="N/A"/>
    <m/>
    <s v="Baixo"/>
    <s v="Passa"/>
    <s v="Passa"/>
    <m/>
  </r>
  <r>
    <x v="79"/>
    <n v="45000"/>
    <s v="N/A"/>
    <m/>
    <s v="Baixo"/>
    <s v="Passa"/>
    <s v="Passa"/>
    <m/>
  </r>
  <r>
    <x v="80"/>
    <n v="79500"/>
    <s v="N/A"/>
    <m/>
    <s v="Baixo"/>
    <s v="Passa"/>
    <s v="Passa"/>
    <m/>
  </r>
  <r>
    <x v="81"/>
    <n v="16500"/>
    <s v="Sim"/>
    <n v="24"/>
    <s v="Médio"/>
    <s v="Passa"/>
    <s v="Passa"/>
    <n v="57000"/>
  </r>
  <r>
    <x v="82"/>
    <n v="46000"/>
    <s v="Sim"/>
    <n v="4"/>
    <s v="Baixo"/>
    <s v="Passa"/>
    <s v="Passa"/>
    <n v="27500"/>
  </r>
  <r>
    <x v="83"/>
    <n v="73500"/>
    <s v="Não"/>
    <n v="33"/>
    <s v="Alto"/>
    <s v="Passa"/>
    <s v="Passa"/>
    <n v="95000"/>
  </r>
  <r>
    <x v="84"/>
    <n v="23500"/>
    <s v="Sim"/>
    <n v="31"/>
    <s v="Alto"/>
    <s v="Negada"/>
    <s v="Passa"/>
    <n v="91000"/>
  </r>
  <r>
    <x v="85"/>
    <n v="80000"/>
    <s v="Não"/>
    <n v="9"/>
    <s v="Baixo"/>
    <s v="Passa"/>
    <s v="Passa"/>
    <n v="58500"/>
  </r>
  <r>
    <x v="85"/>
    <n v="55000"/>
    <s v="Não"/>
    <n v="26"/>
    <s v="Alto"/>
    <s v="Passa"/>
    <s v="Passa"/>
    <n v="54000"/>
  </r>
  <r>
    <x v="86"/>
    <n v="63000"/>
    <s v="Não"/>
    <n v="33"/>
    <s v="Alto"/>
    <s v="Passa"/>
    <s v="Passa"/>
    <n v="53000"/>
  </r>
  <r>
    <x v="26"/>
    <m/>
    <s v="N/A"/>
    <m/>
    <s v="Baixo"/>
    <s v="Passa"/>
    <s v="Passa"/>
    <m/>
  </r>
  <r>
    <x v="87"/>
    <n v="78500"/>
    <s v="Não"/>
    <n v="2"/>
    <s v="Baixo"/>
    <s v="Passa"/>
    <s v="Passa"/>
    <n v="53000"/>
  </r>
  <r>
    <x v="88"/>
    <n v="6500"/>
    <m/>
    <n v="0"/>
    <s v="Baixo"/>
    <s v="Passa"/>
    <s v="Passa"/>
    <n v="42500"/>
  </r>
  <r>
    <x v="89"/>
    <n v="78500"/>
    <s v="Não"/>
    <n v="34"/>
    <s v="Alto"/>
    <s v="Passa"/>
    <s v="Passa"/>
    <n v="84000"/>
  </r>
  <r>
    <x v="90"/>
    <n v="57000"/>
    <s v="N/A"/>
    <m/>
    <s v="Baixo"/>
    <s v="Passa"/>
    <s v="Passa"/>
    <m/>
  </r>
  <r>
    <x v="91"/>
    <n v="21500"/>
    <s v="N/A"/>
    <m/>
    <s v="Baixo"/>
    <s v="Passa"/>
    <s v="Passa"/>
    <m/>
  </r>
  <r>
    <x v="92"/>
    <n v="22000"/>
    <s v="Não"/>
    <n v="38"/>
    <s v="Alto"/>
    <s v="Passa"/>
    <s v="Passa"/>
    <n v="81000"/>
  </r>
  <r>
    <x v="93"/>
    <n v="55000"/>
    <s v="Não"/>
    <n v="38"/>
    <s v="Alto"/>
    <s v="Passa"/>
    <s v="Passa"/>
    <n v="68500"/>
  </r>
  <r>
    <x v="94"/>
    <n v="79500"/>
    <s v="Sim"/>
    <n v="29"/>
    <s v="Alto"/>
    <s v="Negada"/>
    <s v="Negada"/>
    <n v="64000"/>
  </r>
  <r>
    <x v="39"/>
    <n v="31000"/>
    <s v="Não"/>
    <n v="19"/>
    <s v="Médio"/>
    <s v="Passa"/>
    <s v="Passa"/>
    <n v="63500"/>
  </r>
  <r>
    <x v="95"/>
    <n v="67500"/>
    <s v="Não"/>
    <n v="25"/>
    <s v="Médio"/>
    <s v="Passa"/>
    <s v="Passa"/>
    <n v="18000"/>
  </r>
  <r>
    <x v="96"/>
    <m/>
    <s v="N/A"/>
    <m/>
    <s v="Baixo"/>
    <s v="Passa"/>
    <s v="Passa"/>
    <m/>
  </r>
  <r>
    <x v="30"/>
    <n v="78000"/>
    <s v="Não"/>
    <n v="37"/>
    <s v="Alto"/>
    <s v="Passa"/>
    <s v="Passa"/>
    <n v="99000"/>
  </r>
  <r>
    <x v="97"/>
    <n v="17000"/>
    <s v="Não"/>
    <n v="3"/>
    <s v="Baixo"/>
    <s v="Passa"/>
    <s v="Passa"/>
    <n v="4500"/>
  </r>
  <r>
    <x v="98"/>
    <n v="37000"/>
    <s v="Não"/>
    <n v="21"/>
    <s v="Médio"/>
    <s v="Passa"/>
    <s v="Passa"/>
    <n v="97500"/>
  </r>
  <r>
    <x v="74"/>
    <m/>
    <s v="Sim"/>
    <n v="13"/>
    <s v="Médio"/>
    <s v="Passa"/>
    <s v="Passa"/>
    <n v="79000"/>
  </r>
  <r>
    <x v="88"/>
    <n v="66000"/>
    <s v="N/A"/>
    <m/>
    <s v="Baixo"/>
    <s v="Passa"/>
    <s v="Passa"/>
    <m/>
  </r>
  <r>
    <x v="99"/>
    <m/>
    <s v="Sim"/>
    <n v="3"/>
    <s v="Baixo"/>
    <s v="Passa"/>
    <s v="Passa"/>
    <n v="60000"/>
  </r>
  <r>
    <x v="100"/>
    <m/>
    <s v="N/A"/>
    <m/>
    <s v="Baixo"/>
    <s v="Passa"/>
    <s v="Passa"/>
    <m/>
  </r>
  <r>
    <x v="101"/>
    <n v="1000"/>
    <s v="Não"/>
    <n v="16"/>
    <s v="Médio"/>
    <s v="Passa"/>
    <s v="Passa"/>
    <n v="10500"/>
  </r>
  <r>
    <x v="94"/>
    <n v="54500"/>
    <s v="Sim"/>
    <n v="26"/>
    <s v="Alto"/>
    <s v="Negada"/>
    <s v="Negada"/>
    <n v="75000"/>
  </r>
  <r>
    <x v="102"/>
    <m/>
    <s v="Sim"/>
    <n v="1"/>
    <s v="Baixo"/>
    <s v="Passa"/>
    <s v="Passa"/>
    <n v="12000"/>
  </r>
  <r>
    <x v="26"/>
    <m/>
    <s v="N/A"/>
    <m/>
    <s v="Baixo"/>
    <s v="Passa"/>
    <s v="Passa"/>
    <m/>
  </r>
  <r>
    <x v="103"/>
    <n v="20500"/>
    <s v="Sim"/>
    <n v="8"/>
    <s v="Baixo"/>
    <s v="Passa"/>
    <s v="Passa"/>
    <n v="44000"/>
  </r>
  <r>
    <x v="104"/>
    <n v="74500"/>
    <s v="Sim"/>
    <n v="20"/>
    <s v="Médio"/>
    <s v="Passa"/>
    <s v="Negada"/>
    <n v="45500"/>
  </r>
  <r>
    <x v="60"/>
    <m/>
    <s v="N/A"/>
    <m/>
    <s v="Baixo"/>
    <s v="Passa"/>
    <s v="Passa"/>
    <m/>
  </r>
  <r>
    <x v="26"/>
    <m/>
    <s v="N/A"/>
    <m/>
    <s v="Baixo"/>
    <s v="Passa"/>
    <s v="Passa"/>
    <m/>
  </r>
  <r>
    <x v="43"/>
    <m/>
    <s v="N/A"/>
    <n v="0"/>
    <s v="Baixo"/>
    <s v="Passa"/>
    <s v="Passa"/>
    <n v="81000"/>
  </r>
  <r>
    <x v="105"/>
    <n v="23500"/>
    <s v="Não"/>
    <n v="10"/>
    <s v="Baixo"/>
    <s v="Passa"/>
    <s v="Passa"/>
    <n v="21500"/>
  </r>
  <r>
    <x v="106"/>
    <m/>
    <s v="N/A"/>
    <m/>
    <s v="Baixo"/>
    <s v="Passa"/>
    <s v="Passa"/>
    <m/>
  </r>
  <r>
    <x v="107"/>
    <n v="4000"/>
    <s v="Não"/>
    <n v="4"/>
    <s v="Baixo"/>
    <s v="Passa"/>
    <s v="Passa"/>
    <n v="8500"/>
  </r>
  <r>
    <x v="108"/>
    <n v="30500"/>
    <s v="Não"/>
    <n v="28"/>
    <s v="Alto"/>
    <s v="Passa"/>
    <s v="Passa"/>
    <n v="48000"/>
  </r>
  <r>
    <x v="105"/>
    <n v="71000"/>
    <s v="Não"/>
    <n v="28"/>
    <s v="Alto"/>
    <s v="Passa"/>
    <s v="Passa"/>
    <n v="36500"/>
  </r>
  <r>
    <x v="109"/>
    <n v="58000"/>
    <s v="N/A"/>
    <n v="23"/>
    <s v="Médio"/>
    <s v="Passa"/>
    <s v="Passa"/>
    <n v="81500"/>
  </r>
  <r>
    <x v="110"/>
    <m/>
    <s v="N/A"/>
    <m/>
    <s v="Baixo"/>
    <s v="Passa"/>
    <s v="Passa"/>
    <m/>
  </r>
  <r>
    <x v="111"/>
    <n v="75500"/>
    <s v="Sim"/>
    <n v="2"/>
    <s v="Baixo"/>
    <s v="Passa"/>
    <s v="Negada"/>
    <n v="89500"/>
  </r>
  <r>
    <x v="112"/>
    <n v="4000"/>
    <s v="N/A"/>
    <m/>
    <s v="Baixo"/>
    <s v="Passa"/>
    <s v="Passa"/>
    <m/>
  </r>
  <r>
    <x v="113"/>
    <n v="26000"/>
    <s v="N/A"/>
    <m/>
    <s v="Baixo"/>
    <s v="Passa"/>
    <s v="Passa"/>
    <m/>
  </r>
  <r>
    <x v="40"/>
    <n v="35000"/>
    <s v="N/A"/>
    <n v="25"/>
    <s v="Médio"/>
    <s v="Passa"/>
    <s v="Passa"/>
    <n v="59500"/>
  </r>
  <r>
    <x v="114"/>
    <n v="60000"/>
    <s v="Não"/>
    <n v="18"/>
    <s v="Médio"/>
    <s v="Passa"/>
    <s v="Passa"/>
    <n v="54000"/>
  </r>
  <r>
    <x v="78"/>
    <n v="47500"/>
    <s v="Não"/>
    <n v="45"/>
    <s v="Alto"/>
    <s v="Passa"/>
    <s v="Passa"/>
    <n v="60500"/>
  </r>
  <r>
    <x v="38"/>
    <n v="75500"/>
    <s v="Sim"/>
    <n v="25"/>
    <s v="Médio"/>
    <s v="Passa"/>
    <s v="Negada"/>
    <m/>
  </r>
  <r>
    <x v="115"/>
    <n v="6000"/>
    <s v="Sim"/>
    <n v="1"/>
    <s v="Baixo"/>
    <s v="Passa"/>
    <s v="Passa"/>
    <n v="4500"/>
  </r>
  <r>
    <x v="116"/>
    <m/>
    <s v="Sim"/>
    <n v="34"/>
    <s v="Alto"/>
    <s v="Negada"/>
    <s v="Passa"/>
    <n v="16000"/>
  </r>
  <r>
    <x v="117"/>
    <n v="36500"/>
    <s v="Não"/>
    <n v="33"/>
    <s v="Alto"/>
    <s v="Passa"/>
    <s v="Passa"/>
    <n v="60000"/>
  </r>
  <r>
    <x v="118"/>
    <m/>
    <s v="Não"/>
    <n v="22"/>
    <s v="Médio"/>
    <s v="Passa"/>
    <s v="Passa"/>
    <n v="51500"/>
  </r>
  <r>
    <x v="119"/>
    <m/>
    <s v="Não"/>
    <n v="15"/>
    <s v="Médio"/>
    <s v="Passa"/>
    <s v="Passa"/>
    <n v="67000"/>
  </r>
  <r>
    <x v="120"/>
    <n v="25500"/>
    <s v="Não"/>
    <n v="15"/>
    <s v="Médio"/>
    <s v="Passa"/>
    <s v="Passa"/>
    <n v="66000"/>
  </r>
  <r>
    <x v="121"/>
    <n v="35000"/>
    <s v="Não"/>
    <n v="5"/>
    <s v="Baixo"/>
    <s v="Passa"/>
    <s v="Passa"/>
    <n v="10500"/>
  </r>
  <r>
    <x v="122"/>
    <m/>
    <s v="Não"/>
    <n v="3"/>
    <s v="Baixo"/>
    <s v="Passa"/>
    <s v="Passa"/>
    <n v="2500"/>
  </r>
  <r>
    <x v="0"/>
    <m/>
    <s v="N/A"/>
    <m/>
    <s v="Baixo"/>
    <s v="Passa"/>
    <s v="Passa"/>
    <m/>
  </r>
  <r>
    <x v="123"/>
    <m/>
    <s v="Não"/>
    <n v="10"/>
    <s v="Baixo"/>
    <s v="Passa"/>
    <s v="Passa"/>
    <n v="69500"/>
  </r>
  <r>
    <x v="26"/>
    <m/>
    <s v="N/A"/>
    <m/>
    <s v="Baixo"/>
    <s v="Passa"/>
    <s v="Passa"/>
    <m/>
  </r>
  <r>
    <x v="124"/>
    <n v="25000"/>
    <s v="N/A"/>
    <m/>
    <s v="Baixo"/>
    <s v="Passa"/>
    <s v="Passa"/>
    <m/>
  </r>
  <r>
    <x v="97"/>
    <n v="17000"/>
    <s v="Não"/>
    <n v="20"/>
    <s v="Médio"/>
    <s v="Passa"/>
    <s v="Passa"/>
    <n v="29500"/>
  </r>
  <r>
    <x v="125"/>
    <n v="79500"/>
    <s v="Não"/>
    <n v="36"/>
    <s v="Alto"/>
    <s v="Passa"/>
    <s v="Passa"/>
    <n v="1500"/>
  </r>
  <r>
    <x v="43"/>
    <m/>
    <s v="N/A"/>
    <n v="24"/>
    <s v="Médio"/>
    <s v="Passa"/>
    <s v="Passa"/>
    <n v="82000"/>
  </r>
  <r>
    <x v="60"/>
    <m/>
    <s v="N/A"/>
    <m/>
    <s v="Baixo"/>
    <s v="Passa"/>
    <s v="Passa"/>
    <m/>
  </r>
  <r>
    <x v="126"/>
    <n v="29500"/>
    <s v="Sim"/>
    <n v="13"/>
    <s v="Médio"/>
    <s v="Passa"/>
    <s v="Passa"/>
    <n v="5000"/>
  </r>
  <r>
    <x v="127"/>
    <n v="23500"/>
    <s v="Não"/>
    <n v="43"/>
    <s v="Alto"/>
    <s v="Passa"/>
    <s v="Passa"/>
    <n v="57000"/>
  </r>
  <r>
    <x v="128"/>
    <m/>
    <s v="Não"/>
    <n v="25"/>
    <s v="Médio"/>
    <s v="Passa"/>
    <s v="Passa"/>
    <n v="65500"/>
  </r>
  <r>
    <x v="59"/>
    <m/>
    <s v="Não"/>
    <n v="25"/>
    <s v="Médio"/>
    <s v="Passa"/>
    <s v="Passa"/>
    <n v="50000"/>
  </r>
  <r>
    <x v="129"/>
    <n v="13500"/>
    <s v="Não"/>
    <n v="33"/>
    <s v="Alto"/>
    <s v="Passa"/>
    <s v="Passa"/>
    <n v="14500"/>
  </r>
  <r>
    <x v="130"/>
    <n v="19000"/>
    <s v="N/A"/>
    <m/>
    <s v="Baixo"/>
    <s v="Passa"/>
    <s v="Passa"/>
    <m/>
  </r>
  <r>
    <x v="131"/>
    <n v="41000"/>
    <s v="Não"/>
    <n v="9"/>
    <s v="Baixo"/>
    <s v="Passa"/>
    <s v="Passa"/>
    <n v="32500"/>
  </r>
  <r>
    <x v="132"/>
    <n v="76500"/>
    <s v="Não"/>
    <n v="39"/>
    <s v="Alto"/>
    <s v="Passa"/>
    <s v="Passa"/>
    <n v="32000"/>
  </r>
  <r>
    <x v="133"/>
    <n v="62000"/>
    <s v="Sim"/>
    <n v="45"/>
    <s v="Alto"/>
    <s v="Negada"/>
    <s v="Negada"/>
    <n v="35500"/>
  </r>
  <r>
    <x v="87"/>
    <n v="51000"/>
    <s v="N/A"/>
    <n v="12"/>
    <s v="Médio"/>
    <s v="Passa"/>
    <s v="Passa"/>
    <n v="72500"/>
  </r>
  <r>
    <x v="106"/>
    <m/>
    <s v="N/A"/>
    <m/>
    <s v="Baixo"/>
    <s v="Passa"/>
    <s v="Passa"/>
    <m/>
  </r>
  <r>
    <x v="134"/>
    <m/>
    <s v="N/A"/>
    <m/>
    <s v="Baixo"/>
    <s v="Passa"/>
    <s v="Passa"/>
    <m/>
  </r>
  <r>
    <x v="135"/>
    <n v="55000"/>
    <s v="Não"/>
    <n v="26"/>
    <s v="Alto"/>
    <s v="Passa"/>
    <s v="Passa"/>
    <n v="100000"/>
  </r>
  <r>
    <x v="136"/>
    <m/>
    <s v="Não"/>
    <n v="16"/>
    <s v="Médio"/>
    <s v="Passa"/>
    <s v="Passa"/>
    <n v="41000"/>
  </r>
  <r>
    <x v="19"/>
    <n v="65500"/>
    <s v="N/A"/>
    <m/>
    <s v="Baixo"/>
    <s v="Passa"/>
    <s v="Passa"/>
    <m/>
  </r>
  <r>
    <x v="45"/>
    <n v="48500"/>
    <s v="Não"/>
    <n v="29"/>
    <s v="Alto"/>
    <s v="Passa"/>
    <s v="Passa"/>
    <n v="94000"/>
  </r>
  <r>
    <x v="30"/>
    <n v="78000"/>
    <s v="N/A"/>
    <m/>
    <s v="Baixo"/>
    <s v="Passa"/>
    <s v="Passa"/>
    <m/>
  </r>
  <r>
    <x v="137"/>
    <m/>
    <s v="Não"/>
    <n v="13"/>
    <s v="Médio"/>
    <s v="Passa"/>
    <s v="Passa"/>
    <n v="71000"/>
  </r>
  <r>
    <x v="19"/>
    <n v="4500"/>
    <s v="Sim"/>
    <n v="29"/>
    <s v="Alto"/>
    <s v="Negada"/>
    <s v="Passa"/>
    <n v="43500"/>
  </r>
  <r>
    <x v="138"/>
    <n v="19500"/>
    <s v="Não"/>
    <n v="30"/>
    <s v="Alto"/>
    <s v="Passa"/>
    <s v="Passa"/>
    <n v="51000"/>
  </r>
  <r>
    <x v="19"/>
    <n v="4500"/>
    <s v="Não"/>
    <n v="16"/>
    <s v="Médio"/>
    <s v="Passa"/>
    <s v="Passa"/>
    <n v="93500"/>
  </r>
  <r>
    <x v="139"/>
    <n v="44500"/>
    <s v="Sim"/>
    <n v="32"/>
    <s v="Alto"/>
    <s v="Negada"/>
    <s v="Passa"/>
    <n v="2000"/>
  </r>
  <r>
    <x v="80"/>
    <n v="55000"/>
    <s v="Não"/>
    <n v="9"/>
    <s v="Baixo"/>
    <s v="Passa"/>
    <s v="Passa"/>
    <n v="17000"/>
  </r>
  <r>
    <x v="86"/>
    <m/>
    <s v="Não"/>
    <n v="27"/>
    <s v="Alto"/>
    <s v="Passa"/>
    <s v="Passa"/>
    <n v="38500"/>
  </r>
  <r>
    <x v="140"/>
    <m/>
    <s v="Sim"/>
    <n v="30"/>
    <s v="Alto"/>
    <s v="Negada"/>
    <s v="Passa"/>
    <n v="11000"/>
  </r>
  <r>
    <x v="141"/>
    <n v="16000"/>
    <s v="Não"/>
    <n v="9"/>
    <s v="Baixo"/>
    <s v="Passa"/>
    <s v="Passa"/>
    <n v="24500"/>
  </r>
  <r>
    <x v="9"/>
    <n v="15000"/>
    <s v="Não"/>
    <n v="42"/>
    <s v="Alto"/>
    <s v="Passa"/>
    <s v="Passa"/>
    <n v="81500"/>
  </r>
  <r>
    <x v="77"/>
    <n v="39500"/>
    <s v="N/A"/>
    <m/>
    <s v="Baixo"/>
    <s v="Passa"/>
    <s v="Passa"/>
    <m/>
  </r>
  <r>
    <x v="47"/>
    <n v="7500"/>
    <s v="N/A"/>
    <m/>
    <s v="Baixo"/>
    <s v="Passa"/>
    <s v="Passa"/>
    <m/>
  </r>
  <r>
    <x v="32"/>
    <n v="41500"/>
    <s v="Não"/>
    <n v="34"/>
    <s v="Alto"/>
    <s v="Passa"/>
    <s v="Passa"/>
    <n v="66000"/>
  </r>
  <r>
    <x v="142"/>
    <n v="58000"/>
    <s v="Não"/>
    <n v="27"/>
    <s v="Alto"/>
    <s v="Passa"/>
    <s v="Passa"/>
    <n v="38000"/>
  </r>
  <r>
    <x v="122"/>
    <m/>
    <s v="Não"/>
    <n v="4"/>
    <s v="Baixo"/>
    <s v="Passa"/>
    <s v="Passa"/>
    <n v="80000"/>
  </r>
  <r>
    <x v="143"/>
    <n v="69500"/>
    <s v="Não"/>
    <n v="31"/>
    <s v="Alto"/>
    <s v="Passa"/>
    <s v="Passa"/>
    <n v="18000"/>
  </r>
  <r>
    <x v="113"/>
    <n v="26500"/>
    <s v="N/A"/>
    <m/>
    <s v="Baixo"/>
    <s v="Passa"/>
    <s v="Passa"/>
    <m/>
  </r>
  <r>
    <x v="119"/>
    <m/>
    <s v="Não"/>
    <n v="12"/>
    <s v="Médio"/>
    <s v="Passa"/>
    <s v="Passa"/>
    <n v="69500"/>
  </r>
  <r>
    <x v="144"/>
    <m/>
    <s v="Não"/>
    <n v="12"/>
    <s v="Médio"/>
    <s v="Passa"/>
    <s v="Passa"/>
    <n v="46500"/>
  </r>
  <r>
    <x v="30"/>
    <n v="78000"/>
    <s v="Não"/>
    <n v="25"/>
    <s v="Médio"/>
    <s v="Passa"/>
    <s v="Passa"/>
    <n v="48000"/>
  </r>
  <r>
    <x v="145"/>
    <n v="19500"/>
    <s v="Não"/>
    <n v="42"/>
    <s v="Alto"/>
    <s v="Passa"/>
    <s v="Passa"/>
    <n v="89500"/>
  </r>
  <r>
    <x v="88"/>
    <n v="66000"/>
    <s v="N/A"/>
    <m/>
    <s v="Baixo"/>
    <s v="Passa"/>
    <s v="Passa"/>
    <m/>
  </r>
  <r>
    <x v="79"/>
    <n v="45500"/>
    <s v="Não"/>
    <n v="6"/>
    <s v="Baixo"/>
    <s v="Passa"/>
    <s v="Passa"/>
    <n v="49500"/>
  </r>
  <r>
    <x v="146"/>
    <n v="68500"/>
    <s v="N/A"/>
    <m/>
    <s v="Baixo"/>
    <s v="Passa"/>
    <s v="Passa"/>
    <m/>
  </r>
  <r>
    <x v="98"/>
    <n v="75000"/>
    <s v="Não"/>
    <n v="25"/>
    <s v="Médio"/>
    <s v="Passa"/>
    <s v="Passa"/>
    <n v="47000"/>
  </r>
  <r>
    <x v="147"/>
    <n v="69000"/>
    <s v="Sim"/>
    <n v="0"/>
    <s v="Baixo"/>
    <s v="Passa"/>
    <s v="Negada"/>
    <n v="4500"/>
  </r>
  <r>
    <x v="148"/>
    <n v="35000"/>
    <s v="Não"/>
    <n v="6"/>
    <s v="Baixo"/>
    <s v="Passa"/>
    <s v="Passa"/>
    <n v="29500"/>
  </r>
  <r>
    <x v="149"/>
    <n v="2000"/>
    <s v="N/A"/>
    <m/>
    <s v="Baixo"/>
    <s v="Passa"/>
    <s v="Passa"/>
    <m/>
  </r>
  <r>
    <x v="120"/>
    <n v="73500"/>
    <s v="Não"/>
    <n v="2"/>
    <s v="Baixo"/>
    <s v="Passa"/>
    <s v="Passa"/>
    <n v="33000"/>
  </r>
  <r>
    <x v="128"/>
    <m/>
    <s v="Não"/>
    <n v="24"/>
    <s v="Médio"/>
    <s v="Passa"/>
    <s v="Passa"/>
    <n v="16000"/>
  </r>
  <r>
    <x v="150"/>
    <m/>
    <s v="N/A"/>
    <m/>
    <s v="Baixo"/>
    <s v="Passa"/>
    <s v="Passa"/>
    <m/>
  </r>
  <r>
    <x v="70"/>
    <n v="69000"/>
    <s v="Não"/>
    <n v="4"/>
    <s v="Baixo"/>
    <s v="Passa"/>
    <s v="Passa"/>
    <n v="80500"/>
  </r>
  <r>
    <x v="151"/>
    <n v="14500"/>
    <s v="Não"/>
    <n v="15"/>
    <s v="Médio"/>
    <s v="Passa"/>
    <s v="Passa"/>
    <n v="65500"/>
  </r>
  <r>
    <x v="152"/>
    <n v="48000"/>
    <s v="N/A"/>
    <m/>
    <s v="Baixo"/>
    <s v="Passa"/>
    <s v="Passa"/>
    <m/>
  </r>
  <r>
    <x v="153"/>
    <n v="49500"/>
    <s v="Não"/>
    <n v="12"/>
    <s v="Médio"/>
    <s v="Passa"/>
    <s v="Passa"/>
    <n v="34500"/>
  </r>
  <r>
    <x v="45"/>
    <n v="48500"/>
    <s v="Não"/>
    <n v="28"/>
    <s v="Alto"/>
    <s v="Passa"/>
    <s v="Passa"/>
    <n v="20000"/>
  </r>
  <r>
    <x v="118"/>
    <n v="62000"/>
    <s v="Não"/>
    <n v="31"/>
    <s v="Alto"/>
    <s v="Passa"/>
    <s v="Passa"/>
    <n v="60500"/>
  </r>
  <r>
    <x v="26"/>
    <m/>
    <s v="N/A"/>
    <m/>
    <s v="Baixo"/>
    <s v="Passa"/>
    <s v="Passa"/>
    <m/>
  </r>
  <r>
    <x v="154"/>
    <n v="38500"/>
    <s v="N/A"/>
    <n v="26"/>
    <s v="Alto"/>
    <s v="Passa"/>
    <s v="Passa"/>
    <n v="51000"/>
  </r>
  <r>
    <x v="53"/>
    <m/>
    <s v="Não"/>
    <n v="21"/>
    <s v="Médio"/>
    <s v="Passa"/>
    <s v="Passa"/>
    <n v="50500"/>
  </r>
  <r>
    <x v="155"/>
    <m/>
    <s v="N/A"/>
    <m/>
    <s v="Baixo"/>
    <s v="Passa"/>
    <s v="Passa"/>
    <m/>
  </r>
  <r>
    <x v="59"/>
    <n v="64000"/>
    <s v="Sim"/>
    <n v="21"/>
    <s v="Médio"/>
    <s v="Passa"/>
    <s v="Negada"/>
    <n v="19000"/>
  </r>
  <r>
    <x v="96"/>
    <m/>
    <s v="N/A"/>
    <m/>
    <s v="Baixo"/>
    <s v="Passa"/>
    <s v="Passa"/>
    <m/>
  </r>
  <r>
    <x v="8"/>
    <n v="69500"/>
    <s v="Não"/>
    <n v="13"/>
    <s v="Médio"/>
    <s v="Passa"/>
    <s v="Passa"/>
    <n v="43500"/>
  </r>
  <r>
    <x v="72"/>
    <n v="1500"/>
    <s v="Sim"/>
    <n v="32"/>
    <s v="Alto"/>
    <s v="Negada"/>
    <s v="Passa"/>
    <n v="53000"/>
  </r>
  <r>
    <x v="111"/>
    <n v="75500"/>
    <s v="N/A"/>
    <m/>
    <s v="Baixo"/>
    <s v="Passa"/>
    <s v="Passa"/>
    <m/>
  </r>
  <r>
    <x v="156"/>
    <n v="60000"/>
    <s v="Não"/>
    <n v="44"/>
    <s v="Alto"/>
    <s v="Passa"/>
    <s v="Passa"/>
    <n v="48000"/>
  </r>
  <r>
    <x v="157"/>
    <n v="3500"/>
    <s v="Não"/>
    <n v="1"/>
    <s v="Baixo"/>
    <s v="Passa"/>
    <s v="Passa"/>
    <n v="32500"/>
  </r>
  <r>
    <x v="83"/>
    <n v="28000"/>
    <s v="Não"/>
    <n v="34"/>
    <s v="Alto"/>
    <s v="Passa"/>
    <s v="Passa"/>
    <n v="74000"/>
  </r>
  <r>
    <x v="158"/>
    <n v="43000"/>
    <s v="Não"/>
    <n v="36"/>
    <s v="Alto"/>
    <s v="Passa"/>
    <s v="Passa"/>
    <n v="67500"/>
  </r>
  <r>
    <x v="36"/>
    <n v="12000"/>
    <s v="Sim"/>
    <n v="27"/>
    <s v="Alto"/>
    <s v="Negada"/>
    <s v="Passa"/>
    <n v="67500"/>
  </r>
  <r>
    <x v="159"/>
    <n v="37000"/>
    <s v="Não"/>
    <n v="1"/>
    <s v="Baixo"/>
    <s v="Passa"/>
    <s v="Passa"/>
    <n v="87000"/>
  </r>
  <r>
    <x v="160"/>
    <n v="58000"/>
    <s v="N/A"/>
    <m/>
    <s v="Baixo"/>
    <s v="Passa"/>
    <s v="Passa"/>
    <m/>
  </r>
  <r>
    <x v="102"/>
    <m/>
    <s v="Sim"/>
    <n v="31"/>
    <s v="Alto"/>
    <s v="Negada"/>
    <s v="Passa"/>
    <n v="47500"/>
  </r>
  <r>
    <x v="161"/>
    <m/>
    <s v="N/A"/>
    <n v="41"/>
    <s v="Alto"/>
    <s v="Passa"/>
    <s v="Passa"/>
    <n v="83500"/>
  </r>
  <r>
    <x v="162"/>
    <n v="61000"/>
    <s v="Não"/>
    <n v="12"/>
    <s v="Médio"/>
    <s v="Passa"/>
    <s v="Passa"/>
    <n v="96500"/>
  </r>
  <r>
    <x v="135"/>
    <n v="80000"/>
    <s v="Não"/>
    <n v="41"/>
    <s v="Alto"/>
    <s v="Passa"/>
    <s v="Passa"/>
    <n v="30000"/>
  </r>
  <r>
    <x v="22"/>
    <m/>
    <s v="Não"/>
    <n v="10"/>
    <s v="Baixo"/>
    <s v="Passa"/>
    <s v="Passa"/>
    <n v="87000"/>
  </r>
  <r>
    <x v="163"/>
    <n v="70000"/>
    <s v="Sim"/>
    <n v="34"/>
    <s v="Alto"/>
    <s v="Negada"/>
    <s v="Negada"/>
    <n v="7500"/>
  </r>
  <r>
    <x v="133"/>
    <m/>
    <s v="Não"/>
    <n v="10"/>
    <s v="Baixo"/>
    <s v="Passa"/>
    <s v="Passa"/>
    <n v="31000"/>
  </r>
  <r>
    <x v="159"/>
    <n v="37500"/>
    <s v="Não"/>
    <m/>
    <s v="Baixo"/>
    <s v="Passa"/>
    <s v="Passa"/>
    <n v="77000"/>
  </r>
  <r>
    <x v="106"/>
    <n v="58500"/>
    <s v="Não"/>
    <n v="37"/>
    <s v="Alto"/>
    <s v="Passa"/>
    <s v="Passa"/>
    <n v="48000"/>
  </r>
  <r>
    <x v="164"/>
    <n v="12000"/>
    <s v="Não"/>
    <n v="6"/>
    <s v="Baixo"/>
    <s v="Passa"/>
    <s v="Passa"/>
    <n v="11000"/>
  </r>
  <r>
    <x v="165"/>
    <m/>
    <s v="Não"/>
    <n v="17"/>
    <s v="Médio"/>
    <s v="Passa"/>
    <s v="Passa"/>
    <n v="55500"/>
  </r>
  <r>
    <x v="166"/>
    <m/>
    <s v="Não"/>
    <n v="42"/>
    <s v="Alto"/>
    <s v="Passa"/>
    <s v="Passa"/>
    <n v="33000"/>
  </r>
  <r>
    <x v="103"/>
    <n v="21000"/>
    <s v="Não"/>
    <n v="34"/>
    <s v="Alto"/>
    <s v="Passa"/>
    <s v="Passa"/>
    <n v="7500"/>
  </r>
  <r>
    <x v="167"/>
    <n v="8000"/>
    <s v="Não"/>
    <n v="39"/>
    <s v="Alto"/>
    <s v="Passa"/>
    <s v="Passa"/>
    <n v="36000"/>
  </r>
  <r>
    <x v="110"/>
    <m/>
    <s v="N/A"/>
    <m/>
    <s v="Baixo"/>
    <s v="Passa"/>
    <s v="Passa"/>
    <m/>
  </r>
  <r>
    <x v="168"/>
    <n v="61000"/>
    <s v="Sim"/>
    <n v="9"/>
    <s v="Baixo"/>
    <s v="Passa"/>
    <s v="Negada"/>
    <n v="88000"/>
  </r>
  <r>
    <x v="169"/>
    <m/>
    <s v="N/A"/>
    <m/>
    <s v="Baixo"/>
    <s v="Passa"/>
    <s v="Passa"/>
    <m/>
  </r>
  <r>
    <x v="170"/>
    <n v="1500"/>
    <s v="Não"/>
    <n v="26"/>
    <s v="Alto"/>
    <s v="Passa"/>
    <s v="Passa"/>
    <n v="36000"/>
  </r>
  <r>
    <x v="65"/>
    <m/>
    <s v="N/A"/>
    <m/>
    <s v="Baixo"/>
    <s v="Passa"/>
    <s v="Passa"/>
    <m/>
  </r>
  <r>
    <x v="114"/>
    <m/>
    <s v="Não"/>
    <n v="9"/>
    <s v="Baixo"/>
    <s v="Passa"/>
    <s v="Passa"/>
    <n v="14500"/>
  </r>
  <r>
    <x v="171"/>
    <n v="40500"/>
    <s v="Não"/>
    <n v="20"/>
    <s v="Médio"/>
    <s v="Passa"/>
    <s v="Passa"/>
    <n v="2500"/>
  </r>
  <r>
    <x v="172"/>
    <n v="24000"/>
    <s v="Não"/>
    <n v="2"/>
    <s v="Baixo"/>
    <s v="Passa"/>
    <s v="Passa"/>
    <n v="17500"/>
  </r>
  <r>
    <x v="173"/>
    <n v="64500"/>
    <s v="Sim"/>
    <n v="32"/>
    <s v="Alto"/>
    <s v="Negada"/>
    <s v="Negada"/>
    <n v="35500"/>
  </r>
  <r>
    <x v="54"/>
    <m/>
    <s v="N/A"/>
    <m/>
    <s v="Baixo"/>
    <s v="Passa"/>
    <s v="Passa"/>
    <m/>
  </r>
  <r>
    <x v="174"/>
    <n v="1000"/>
    <s v="Sim"/>
    <n v="24"/>
    <s v="Médio"/>
    <s v="Passa"/>
    <s v="Passa"/>
    <n v="61500"/>
  </r>
  <r>
    <x v="51"/>
    <m/>
    <s v="N/A"/>
    <m/>
    <s v="Baixo"/>
    <s v="Passa"/>
    <s v="Passa"/>
    <m/>
  </r>
  <r>
    <x v="175"/>
    <n v="64500"/>
    <s v="N/A"/>
    <m/>
    <s v="Baixo"/>
    <s v="Passa"/>
    <s v="Passa"/>
    <m/>
  </r>
  <r>
    <x v="176"/>
    <n v="52500"/>
    <s v="N/A"/>
    <n v="16"/>
    <s v="Médio"/>
    <s v="Passa"/>
    <s v="Passa"/>
    <n v="97000"/>
  </r>
  <r>
    <x v="21"/>
    <m/>
    <s v="N/A"/>
    <m/>
    <s v="Baixo"/>
    <s v="Passa"/>
    <s v="Passa"/>
    <m/>
  </r>
  <r>
    <x v="159"/>
    <n v="37000"/>
    <s v="Não"/>
    <n v="34"/>
    <s v="Alto"/>
    <s v="Passa"/>
    <s v="Passa"/>
    <n v="87000"/>
  </r>
  <r>
    <x v="177"/>
    <n v="61500"/>
    <s v="Não"/>
    <n v="1"/>
    <s v="Baixo"/>
    <s v="Passa"/>
    <s v="Passa"/>
    <n v="50500"/>
  </r>
  <r>
    <x v="178"/>
    <m/>
    <s v="N/A"/>
    <n v="8"/>
    <s v="Baixo"/>
    <s v="Passa"/>
    <s v="Passa"/>
    <n v="33000"/>
  </r>
  <r>
    <x v="125"/>
    <n v="54500"/>
    <s v="Não"/>
    <n v="34"/>
    <s v="Alto"/>
    <s v="Passa"/>
    <s v="Passa"/>
    <n v="72000"/>
  </r>
  <r>
    <x v="79"/>
    <n v="78000"/>
    <s v="Sim"/>
    <n v="14"/>
    <s v="Médio"/>
    <s v="Passa"/>
    <s v="Negada"/>
    <n v="27000"/>
  </r>
  <r>
    <x v="179"/>
    <n v="25000"/>
    <s v="N/A"/>
    <m/>
    <s v="Baixo"/>
    <s v="Passa"/>
    <s v="Passa"/>
    <m/>
  </r>
  <r>
    <x v="180"/>
    <n v="14500"/>
    <s v="Não"/>
    <n v="4"/>
    <s v="Baixo"/>
    <s v="Passa"/>
    <s v="Passa"/>
    <n v="21000"/>
  </r>
  <r>
    <x v="99"/>
    <m/>
    <s v="Sim"/>
    <n v="3"/>
    <s v="Baixo"/>
    <s v="Passa"/>
    <s v="Passa"/>
    <n v="7000"/>
  </r>
  <r>
    <x v="181"/>
    <n v="52000"/>
    <s v="N/A"/>
    <m/>
    <s v="Baixo"/>
    <s v="Passa"/>
    <s v="Passa"/>
    <m/>
  </r>
  <r>
    <x v="31"/>
    <n v="6500"/>
    <s v="Não"/>
    <n v="42"/>
    <s v="Alto"/>
    <s v="Passa"/>
    <s v="Passa"/>
    <n v="96000"/>
  </r>
  <r>
    <x v="95"/>
    <n v="9000"/>
    <s v="N/A"/>
    <m/>
    <s v="Baixo"/>
    <s v="Passa"/>
    <s v="Passa"/>
    <m/>
  </r>
  <r>
    <x v="78"/>
    <n v="47000"/>
    <s v="Não"/>
    <n v="19"/>
    <s v="Médio"/>
    <s v="Passa"/>
    <s v="Passa"/>
    <n v="20500"/>
  </r>
  <r>
    <x v="182"/>
    <n v="78000"/>
    <s v="Não"/>
    <n v="28"/>
    <s v="Alto"/>
    <s v="Passa"/>
    <s v="Passa"/>
    <n v="74500"/>
  </r>
  <r>
    <x v="98"/>
    <n v="37000"/>
    <s v="Não"/>
    <n v="15"/>
    <s v="Médio"/>
    <s v="Passa"/>
    <s v="Passa"/>
    <n v="41500"/>
  </r>
  <r>
    <x v="183"/>
    <n v="49500"/>
    <s v="Não"/>
    <n v="16"/>
    <s v="Médio"/>
    <s v="Passa"/>
    <s v="Passa"/>
    <n v="15500"/>
  </r>
  <r>
    <x v="61"/>
    <n v="42000"/>
    <s v="Sim"/>
    <n v="27"/>
    <s v="Alto"/>
    <s v="Negada"/>
    <s v="Passa"/>
    <n v="40000"/>
  </r>
  <r>
    <x v="74"/>
    <m/>
    <s v="Sim"/>
    <n v="29"/>
    <s v="Alto"/>
    <s v="Negada"/>
    <s v="Passa"/>
    <n v="51500"/>
  </r>
  <r>
    <x v="10"/>
    <m/>
    <s v="Não"/>
    <n v="18"/>
    <s v="Médio"/>
    <s v="Passa"/>
    <s v="Passa"/>
    <m/>
  </r>
  <r>
    <x v="110"/>
    <n v="59000"/>
    <s v="Não"/>
    <n v="4"/>
    <s v="Baixo"/>
    <s v="Passa"/>
    <s v="Passa"/>
    <n v="73500"/>
  </r>
  <r>
    <x v="184"/>
    <n v="50500"/>
    <s v="Sim"/>
    <n v="11"/>
    <s v="Médio"/>
    <s v="Passa"/>
    <s v="Negada"/>
    <n v="26000"/>
  </r>
  <r>
    <x v="130"/>
    <n v="18500"/>
    <s v="Sim"/>
    <n v="22"/>
    <s v="Médio"/>
    <s v="Passa"/>
    <s v="Passa"/>
    <n v="16500"/>
  </r>
  <r>
    <x v="185"/>
    <n v="8500"/>
    <s v="Não"/>
    <n v="39"/>
    <s v="Alto"/>
    <s v="Passa"/>
    <s v="Passa"/>
    <n v="36500"/>
  </r>
  <r>
    <x v="123"/>
    <n v="63500"/>
    <s v="Não"/>
    <n v="24"/>
    <s v="Médio"/>
    <s v="Passa"/>
    <s v="Passa"/>
    <n v="87000"/>
  </r>
  <r>
    <x v="180"/>
    <n v="14000"/>
    <s v="Não"/>
    <n v="3"/>
    <s v="Baixo"/>
    <s v="Passa"/>
    <s v="Passa"/>
    <n v="11500"/>
  </r>
  <r>
    <x v="149"/>
    <n v="3000"/>
    <s v="Sim"/>
    <n v="40"/>
    <s v="Alto"/>
    <s v="Negada"/>
    <s v="Passa"/>
    <n v="26000"/>
  </r>
  <r>
    <x v="59"/>
    <n v="63500"/>
    <s v="Não"/>
    <n v="18"/>
    <s v="Médio"/>
    <s v="Passa"/>
    <s v="Passa"/>
    <n v="3000"/>
  </r>
  <r>
    <x v="130"/>
    <n v="19000"/>
    <s v="N/A"/>
    <m/>
    <s v="Baixo"/>
    <s v="Passa"/>
    <s v="Passa"/>
    <m/>
  </r>
  <r>
    <x v="26"/>
    <m/>
    <s v="N/A"/>
    <m/>
    <s v="Baixo"/>
    <s v="Passa"/>
    <s v="Passa"/>
    <m/>
  </r>
  <r>
    <x v="75"/>
    <n v="42500"/>
    <s v="Sim"/>
    <n v="29"/>
    <s v="Alto"/>
    <s v="Negada"/>
    <s v="Passa"/>
    <n v="66000"/>
  </r>
  <r>
    <x v="186"/>
    <n v="1000"/>
    <s v="Sim"/>
    <n v="42"/>
    <s v="Alto"/>
    <s v="Negada"/>
    <s v="Passa"/>
    <n v="16500"/>
  </r>
  <r>
    <x v="148"/>
    <n v="35000"/>
    <s v="Não"/>
    <n v="40"/>
    <s v="Alto"/>
    <s v="Passa"/>
    <s v="Passa"/>
    <n v="1000"/>
  </r>
  <r>
    <x v="118"/>
    <m/>
    <s v="Não"/>
    <n v="27"/>
    <s v="Alto"/>
    <s v="Passa"/>
    <s v="Passa"/>
    <n v="33500"/>
  </r>
  <r>
    <x v="182"/>
    <n v="48500"/>
    <s v="Sim"/>
    <n v="6"/>
    <s v="Baixo"/>
    <s v="Passa"/>
    <s v="Passa"/>
    <n v="56500"/>
  </r>
  <r>
    <x v="187"/>
    <n v="17500"/>
    <s v="Não"/>
    <n v="19"/>
    <s v="Médio"/>
    <s v="Passa"/>
    <s v="Passa"/>
    <n v="26000"/>
  </r>
  <r>
    <x v="188"/>
    <n v="45000"/>
    <s v="Não"/>
    <n v="34"/>
    <s v="Alto"/>
    <s v="Passa"/>
    <s v="Passa"/>
    <n v="41500"/>
  </r>
  <r>
    <x v="189"/>
    <n v="78500"/>
    <s v="Não"/>
    <n v="1"/>
    <s v="Baixo"/>
    <s v="Passa"/>
    <s v="Passa"/>
    <n v="42000"/>
  </r>
  <r>
    <x v="22"/>
    <m/>
    <s v="Não"/>
    <n v="16"/>
    <s v="Médio"/>
    <s v="Passa"/>
    <s v="Passa"/>
    <n v="61500"/>
  </r>
  <r>
    <x v="190"/>
    <m/>
    <m/>
    <n v="26"/>
    <s v="Alto"/>
    <s v="Passa"/>
    <s v="Passa"/>
    <n v="89000"/>
  </r>
  <r>
    <x v="104"/>
    <n v="36500"/>
    <s v="N/A"/>
    <m/>
    <s v="Baixo"/>
    <s v="Passa"/>
    <s v="Passa"/>
    <m/>
  </r>
  <r>
    <x v="153"/>
    <n v="78000"/>
    <s v="Não"/>
    <n v="9"/>
    <s v="Baixo"/>
    <s v="Passa"/>
    <s v="Passa"/>
    <n v="51500"/>
  </r>
  <r>
    <x v="191"/>
    <n v="72000"/>
    <s v="Não"/>
    <n v="35"/>
    <s v="Alto"/>
    <s v="Passa"/>
    <s v="Passa"/>
    <n v="79000"/>
  </r>
  <r>
    <x v="182"/>
    <n v="48000"/>
    <s v="N/A"/>
    <m/>
    <s v="Baixo"/>
    <s v="Passa"/>
    <s v="Passa"/>
    <m/>
  </r>
  <r>
    <x v="176"/>
    <n v="53000"/>
    <s v="Sim"/>
    <n v="20"/>
    <s v="Médio"/>
    <s v="Passa"/>
    <s v="Negada"/>
    <n v="52500"/>
  </r>
  <r>
    <x v="192"/>
    <n v="25000"/>
    <s v="Não"/>
    <n v="0"/>
    <s v="Baixo"/>
    <s v="Passa"/>
    <s v="Passa"/>
    <n v="55500"/>
  </r>
  <r>
    <x v="20"/>
    <n v="12000"/>
    <s v="Não"/>
    <n v="37"/>
    <s v="Alto"/>
    <s v="Passa"/>
    <s v="Passa"/>
    <n v="49000"/>
  </r>
  <r>
    <x v="91"/>
    <n v="21500"/>
    <s v="Sim"/>
    <n v="24"/>
    <s v="Médio"/>
    <s v="Passa"/>
    <s v="Passa"/>
    <n v="80000"/>
  </r>
  <r>
    <x v="17"/>
    <n v="23000"/>
    <s v="N/A"/>
    <n v="22"/>
    <s v="Médio"/>
    <s v="Passa"/>
    <s v="Passa"/>
    <n v="99000"/>
  </r>
  <r>
    <x v="193"/>
    <n v="34000"/>
    <s v="Não"/>
    <n v="35"/>
    <s v="Alto"/>
    <s v="Passa"/>
    <s v="Passa"/>
    <n v="35000"/>
  </r>
  <r>
    <x v="6"/>
    <n v="49000"/>
    <s v="Não"/>
    <n v="1"/>
    <s v="Baixo"/>
    <s v="Passa"/>
    <s v="Passa"/>
    <n v="48000"/>
  </r>
  <r>
    <x v="194"/>
    <n v="76000"/>
    <s v="Não"/>
    <n v="44"/>
    <s v="Alto"/>
    <s v="Passa"/>
    <s v="Passa"/>
    <n v="27000"/>
  </r>
  <r>
    <x v="195"/>
    <n v="40000"/>
    <s v="Não"/>
    <n v="16"/>
    <s v="Médio"/>
    <s v="Passa"/>
    <s v="Passa"/>
    <n v="98500"/>
  </r>
  <r>
    <x v="141"/>
    <n v="16000"/>
    <s v="Sim"/>
    <n v="44"/>
    <s v="Alto"/>
    <s v="Negada"/>
    <s v="Passa"/>
    <n v="59000"/>
  </r>
  <r>
    <x v="196"/>
    <m/>
    <s v="Sim"/>
    <n v="28"/>
    <s v="Alto"/>
    <s v="Negada"/>
    <s v="Passa"/>
    <n v="13000"/>
  </r>
  <r>
    <x v="53"/>
    <m/>
    <s v="Não"/>
    <n v="36"/>
    <s v="Alto"/>
    <s v="Passa"/>
    <s v="Passa"/>
    <n v="89000"/>
  </r>
  <r>
    <x v="132"/>
    <n v="76500"/>
    <s v="Não"/>
    <n v="30"/>
    <s v="Alto"/>
    <s v="Passa"/>
    <s v="Passa"/>
    <n v="18500"/>
  </r>
  <r>
    <x v="33"/>
    <m/>
    <s v="N/A"/>
    <m/>
    <s v="Baixo"/>
    <s v="Passa"/>
    <s v="Passa"/>
    <m/>
  </r>
  <r>
    <x v="75"/>
    <n v="42500"/>
    <s v="Sim"/>
    <n v="3"/>
    <s v="Baixo"/>
    <s v="Passa"/>
    <s v="Passa"/>
    <n v="8000"/>
  </r>
  <r>
    <x v="197"/>
    <m/>
    <s v="Sim"/>
    <n v="31"/>
    <s v="Alto"/>
    <s v="Negada"/>
    <s v="Passa"/>
    <n v="97500"/>
  </r>
  <r>
    <x v="129"/>
    <n v="68000"/>
    <s v="Não"/>
    <n v="40"/>
    <s v="Alto"/>
    <s v="Passa"/>
    <s v="Passa"/>
    <n v="49500"/>
  </r>
  <r>
    <x v="198"/>
    <n v="71000"/>
    <s v="Não"/>
    <n v="32"/>
    <s v="Alto"/>
    <s v="Passa"/>
    <s v="Passa"/>
    <n v="29500"/>
  </r>
  <r>
    <x v="175"/>
    <n v="1500"/>
    <s v="Sim"/>
    <n v="33"/>
    <s v="Alto"/>
    <s v="Negada"/>
    <s v="Passa"/>
    <n v="14000"/>
  </r>
  <r>
    <x v="40"/>
    <n v="74000"/>
    <s v="Não"/>
    <n v="40"/>
    <s v="Alto"/>
    <s v="Passa"/>
    <s v="Passa"/>
    <n v="34500"/>
  </r>
  <r>
    <x v="79"/>
    <n v="45500"/>
    <s v="Não"/>
    <n v="30"/>
    <s v="Alto"/>
    <s v="Passa"/>
    <s v="Passa"/>
    <n v="17500"/>
  </r>
  <r>
    <x v="199"/>
    <n v="5000"/>
    <s v="N/A"/>
    <m/>
    <s v="Baixo"/>
    <s v="Passa"/>
    <s v="Passa"/>
    <m/>
  </r>
  <r>
    <x v="199"/>
    <n v="5000"/>
    <s v="Não"/>
    <n v="8"/>
    <s v="Baixo"/>
    <s v="Passa"/>
    <s v="Passa"/>
    <n v="11000"/>
  </r>
  <r>
    <x v="76"/>
    <n v="62500"/>
    <s v="Não"/>
    <n v="31"/>
    <s v="Alto"/>
    <s v="Passa"/>
    <s v="Passa"/>
    <n v="83500"/>
  </r>
  <r>
    <x v="56"/>
    <n v="22000"/>
    <s v="Não"/>
    <n v="11"/>
    <s v="Médio"/>
    <s v="Passa"/>
    <s v="Passa"/>
    <n v="28500"/>
  </r>
  <r>
    <x v="127"/>
    <n v="71000"/>
    <s v="Não"/>
    <n v="10"/>
    <s v="Baixo"/>
    <s v="Passa"/>
    <s v="Passa"/>
    <n v="91500"/>
  </r>
  <r>
    <x v="136"/>
    <n v="60500"/>
    <s v="N/A"/>
    <m/>
    <s v="Baixo"/>
    <s v="Passa"/>
    <s v="Passa"/>
    <m/>
  </r>
  <r>
    <x v="109"/>
    <m/>
    <s v="N/A"/>
    <m/>
    <s v="Baixo"/>
    <s v="Passa"/>
    <s v="Passa"/>
    <m/>
  </r>
  <r>
    <x v="157"/>
    <n v="65000"/>
    <s v="Sim"/>
    <n v="29"/>
    <s v="Alto"/>
    <s v="Negada"/>
    <s v="Negada"/>
    <n v="12000"/>
  </r>
  <r>
    <x v="200"/>
    <m/>
    <s v="Não"/>
    <n v="19"/>
    <s v="Médio"/>
    <s v="Passa"/>
    <s v="Passa"/>
    <n v="90000"/>
  </r>
  <r>
    <x v="201"/>
    <m/>
    <s v="N/A"/>
    <m/>
    <s v="Baixo"/>
    <s v="Passa"/>
    <s v="Passa"/>
    <m/>
  </r>
  <r>
    <x v="112"/>
    <n v="4000"/>
    <s v="Não"/>
    <n v="30"/>
    <s v="Alto"/>
    <s v="Passa"/>
    <s v="Passa"/>
    <n v="38500"/>
  </r>
  <r>
    <x v="192"/>
    <n v="72500"/>
    <s v="Não"/>
    <n v="32"/>
    <s v="Alto"/>
    <s v="Passa"/>
    <s v="Passa"/>
    <n v="97000"/>
  </r>
  <r>
    <x v="202"/>
    <n v="3500"/>
    <s v="N/A"/>
    <n v="25"/>
    <s v="Médio"/>
    <s v="Passa"/>
    <s v="Passa"/>
    <n v="35000"/>
  </r>
  <r>
    <x v="203"/>
    <m/>
    <s v="Não"/>
    <n v="20"/>
    <s v="Médio"/>
    <s v="Passa"/>
    <s v="Passa"/>
    <n v="3100"/>
  </r>
  <r>
    <x v="21"/>
    <m/>
    <s v="N/A"/>
    <m/>
    <s v="Baixo"/>
    <s v="Passa"/>
    <s v="Passa"/>
    <m/>
  </r>
  <r>
    <x v="204"/>
    <n v="40500"/>
    <s v="Não"/>
    <n v="35"/>
    <s v="Alto"/>
    <s v="Passa"/>
    <s v="Passa"/>
    <n v="53000"/>
  </r>
  <r>
    <x v="205"/>
    <n v="17500"/>
    <s v="N/A"/>
    <n v="35"/>
    <s v="Alto"/>
    <s v="Passa"/>
    <s v="Passa"/>
    <m/>
  </r>
  <r>
    <x v="108"/>
    <n v="30500"/>
    <s v="Não"/>
    <n v="34"/>
    <s v="Alto"/>
    <s v="Passa"/>
    <s v="Passa"/>
    <n v="87500"/>
  </r>
  <r>
    <x v="110"/>
    <n v="59000"/>
    <s v="N/A"/>
    <m/>
    <s v="Baixo"/>
    <s v="Passa"/>
    <s v="Passa"/>
    <m/>
  </r>
  <r>
    <x v="206"/>
    <n v="14500"/>
    <s v="Sim"/>
    <n v="9"/>
    <s v="Baixo"/>
    <s v="Passa"/>
    <s v="Passa"/>
    <n v="17500"/>
  </r>
  <r>
    <x v="207"/>
    <m/>
    <s v="Sim"/>
    <n v="4"/>
    <s v="Baixo"/>
    <s v="Passa"/>
    <s v="Passa"/>
    <n v="54500"/>
  </r>
  <r>
    <x v="31"/>
    <n v="7500"/>
    <s v="Não"/>
    <n v="12"/>
    <s v="Médio"/>
    <s v="Passa"/>
    <s v="Passa"/>
    <n v="73000"/>
  </r>
  <r>
    <x v="208"/>
    <m/>
    <s v="N/A"/>
    <m/>
    <s v="Baixo"/>
    <s v="Passa"/>
    <s v="Passa"/>
    <m/>
  </r>
  <r>
    <x v="87"/>
    <n v="50500"/>
    <s v="Não"/>
    <n v="16"/>
    <s v="Médio"/>
    <s v="Passa"/>
    <s v="Passa"/>
    <n v="41500"/>
  </r>
  <r>
    <x v="125"/>
    <n v="55000"/>
    <s v="Não"/>
    <n v="11"/>
    <s v="Médio"/>
    <s v="Passa"/>
    <s v="Passa"/>
    <n v="33500"/>
  </r>
  <r>
    <x v="209"/>
    <n v="48500"/>
    <s v="Não"/>
    <n v="6"/>
    <s v="Baixo"/>
    <s v="Passa"/>
    <s v="Passa"/>
    <n v="62500"/>
  </r>
  <r>
    <x v="83"/>
    <n v="29500"/>
    <s v="N/A"/>
    <m/>
    <s v="Baixo"/>
    <s v="Passa"/>
    <s v="Passa"/>
    <m/>
  </r>
  <r>
    <x v="163"/>
    <n v="22000"/>
    <s v="Não"/>
    <n v="23"/>
    <s v="Médio"/>
    <s v="Passa"/>
    <s v="Passa"/>
    <n v="90000"/>
  </r>
  <r>
    <x v="135"/>
    <n v="55500"/>
    <s v="Não"/>
    <n v="32"/>
    <s v="Alto"/>
    <s v="Passa"/>
    <s v="Passa"/>
    <n v="91500"/>
  </r>
  <r>
    <x v="89"/>
    <n v="54000"/>
    <s v="Não"/>
    <n v="44"/>
    <s v="Alto"/>
    <s v="Passa"/>
    <s v="Passa"/>
    <n v="18000"/>
  </r>
  <r>
    <x v="11"/>
    <m/>
    <s v="Não"/>
    <n v="20"/>
    <s v="Médio"/>
    <s v="Passa"/>
    <s v="Passa"/>
    <n v="42000"/>
  </r>
  <r>
    <x v="86"/>
    <m/>
    <s v="Não"/>
    <n v="29"/>
    <s v="Alto"/>
    <s v="Passa"/>
    <s v="Passa"/>
    <n v="92500"/>
  </r>
  <r>
    <x v="189"/>
    <n v="50000"/>
    <s v="Não"/>
    <n v="40"/>
    <s v="Alto"/>
    <s v="Passa"/>
    <s v="Passa"/>
    <n v="46500"/>
  </r>
  <r>
    <x v="89"/>
    <n v="54000"/>
    <s v="N/A"/>
    <m/>
    <s v="Baixo"/>
    <s v="Passa"/>
    <s v="Passa"/>
    <m/>
  </r>
  <r>
    <x v="95"/>
    <n v="9000"/>
    <s v="N/A"/>
    <m/>
    <s v="Baixo"/>
    <s v="Passa"/>
    <s v="Passa"/>
    <m/>
  </r>
  <r>
    <x v="210"/>
    <m/>
    <s v="Não"/>
    <n v="42"/>
    <s v="Alto"/>
    <s v="Passa"/>
    <s v="Passa"/>
    <n v="77000"/>
  </r>
  <r>
    <x v="205"/>
    <n v="69000"/>
    <s v="Não"/>
    <n v="20"/>
    <s v="Médio"/>
    <s v="Passa"/>
    <s v="Passa"/>
    <n v="69000"/>
  </r>
  <r>
    <x v="211"/>
    <n v="75500"/>
    <s v="Não"/>
    <n v="16"/>
    <s v="Médio"/>
    <s v="Passa"/>
    <s v="Passa"/>
    <n v="88000"/>
  </r>
  <r>
    <x v="72"/>
    <n v="1000"/>
    <s v="Não"/>
    <n v="3"/>
    <s v="Baixo"/>
    <s v="Passa"/>
    <s v="Passa"/>
    <n v="50500"/>
  </r>
  <r>
    <x v="165"/>
    <m/>
    <s v="Não"/>
    <n v="27"/>
    <s v="Alto"/>
    <s v="Passa"/>
    <s v="Passa"/>
    <n v="99500"/>
  </r>
  <r>
    <x v="211"/>
    <n v="40000"/>
    <s v="Não"/>
    <n v="13"/>
    <s v="Médio"/>
    <s v="Passa"/>
    <s v="Passa"/>
    <n v="22500"/>
  </r>
  <r>
    <x v="24"/>
    <m/>
    <s v="Sim"/>
    <n v="14"/>
    <s v="Médio"/>
    <s v="Passa"/>
    <s v="Passa"/>
    <n v="49500"/>
  </r>
  <r>
    <x v="170"/>
    <n v="2000"/>
    <s v="Não"/>
    <n v="8"/>
    <s v="Baixo"/>
    <s v="Passa"/>
    <s v="Passa"/>
    <n v="4000"/>
  </r>
  <r>
    <x v="212"/>
    <n v="55000"/>
    <s v="N/A"/>
    <m/>
    <s v="Baixo"/>
    <s v="Passa"/>
    <s v="Passa"/>
    <m/>
  </r>
  <r>
    <x v="126"/>
    <n v="73500"/>
    <s v="N/A"/>
    <m/>
    <s v="Baixo"/>
    <s v="Passa"/>
    <s v="Passa"/>
    <m/>
  </r>
  <r>
    <x v="179"/>
    <n v="25000"/>
    <s v="N/A"/>
    <m/>
    <s v="Baixo"/>
    <s v="Passa"/>
    <s v="Passa"/>
    <m/>
  </r>
  <r>
    <x v="176"/>
    <n v="52500"/>
    <s v="Sim"/>
    <n v="0"/>
    <s v="Baixo"/>
    <s v="Passa"/>
    <s v="Negada"/>
    <n v="66000"/>
  </r>
  <r>
    <x v="28"/>
    <n v="8500"/>
    <s v="N/A"/>
    <n v="35"/>
    <s v="Alto"/>
    <s v="Passa"/>
    <s v="Passa"/>
    <n v="23500"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  <r>
    <x v="26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">
  <r>
    <x v="0"/>
  </r>
  <r>
    <x v="1"/>
  </r>
  <r>
    <x v="2"/>
  </r>
  <r>
    <x v="0"/>
  </r>
  <r>
    <x v="0"/>
  </r>
  <r>
    <x v="0"/>
  </r>
  <r>
    <x v="1"/>
  </r>
  <r>
    <x v="1"/>
  </r>
  <r>
    <x v="0"/>
  </r>
  <r>
    <x v="2"/>
  </r>
  <r>
    <x v="2"/>
  </r>
  <r>
    <x v="0"/>
  </r>
  <r>
    <x v="0"/>
  </r>
  <r>
    <x v="0"/>
  </r>
  <r>
    <x v="2"/>
  </r>
  <r>
    <x v="1"/>
  </r>
  <r>
    <x v="2"/>
  </r>
  <r>
    <x v="0"/>
  </r>
  <r>
    <x v="2"/>
  </r>
  <r>
    <x v="1"/>
  </r>
  <r>
    <x v="0"/>
  </r>
  <r>
    <x v="1"/>
  </r>
  <r>
    <x v="2"/>
  </r>
  <r>
    <x v="0"/>
  </r>
  <r>
    <x v="0"/>
  </r>
  <r>
    <x v="1"/>
  </r>
  <r>
    <x v="2"/>
  </r>
  <r>
    <x v="2"/>
  </r>
  <r>
    <x v="0"/>
  </r>
  <r>
    <x v="1"/>
  </r>
  <r>
    <x v="2"/>
  </r>
  <r>
    <x v="0"/>
  </r>
  <r>
    <x v="0"/>
  </r>
  <r>
    <x v="2"/>
  </r>
  <r>
    <x v="2"/>
  </r>
  <r>
    <x v="2"/>
  </r>
  <r>
    <x v="1"/>
  </r>
  <r>
    <x v="2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2"/>
  </r>
  <r>
    <x v="0"/>
  </r>
  <r>
    <x v="1"/>
  </r>
  <r>
    <x v="0"/>
  </r>
  <r>
    <x v="0"/>
  </r>
  <r>
    <x v="0"/>
  </r>
  <r>
    <x v="0"/>
  </r>
  <r>
    <x v="2"/>
  </r>
  <r>
    <x v="0"/>
  </r>
  <r>
    <x v="0"/>
  </r>
  <r>
    <x v="1"/>
  </r>
  <r>
    <x v="2"/>
  </r>
  <r>
    <x v="2"/>
  </r>
  <r>
    <x v="0"/>
  </r>
  <r>
    <x v="2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2"/>
  </r>
  <r>
    <x v="0"/>
  </r>
  <r>
    <x v="2"/>
  </r>
  <r>
    <x v="0"/>
  </r>
  <r>
    <x v="0"/>
  </r>
  <r>
    <x v="2"/>
  </r>
  <r>
    <x v="2"/>
  </r>
  <r>
    <x v="0"/>
  </r>
  <r>
    <x v="2"/>
  </r>
  <r>
    <x v="2"/>
  </r>
  <r>
    <x v="0"/>
  </r>
  <r>
    <x v="2"/>
  </r>
  <r>
    <x v="0"/>
  </r>
  <r>
    <x v="2"/>
  </r>
  <r>
    <x v="0"/>
  </r>
  <r>
    <x v="0"/>
  </r>
  <r>
    <x v="2"/>
  </r>
  <r>
    <x v="0"/>
  </r>
  <r>
    <x v="1"/>
  </r>
  <r>
    <x v="1"/>
  </r>
  <r>
    <x v="0"/>
  </r>
  <r>
    <x v="2"/>
  </r>
  <r>
    <x v="0"/>
  </r>
  <r>
    <x v="0"/>
  </r>
  <r>
    <x v="2"/>
  </r>
  <r>
    <x v="2"/>
  </r>
  <r>
    <x v="2"/>
  </r>
  <r>
    <x v="2"/>
  </r>
  <r>
    <x v="1"/>
  </r>
  <r>
    <x v="1"/>
  </r>
  <r>
    <x v="0"/>
  </r>
  <r>
    <x v="1"/>
  </r>
  <r>
    <x v="0"/>
  </r>
  <r>
    <x v="0"/>
  </r>
  <r>
    <x v="0"/>
  </r>
  <r>
    <x v="2"/>
  </r>
  <r>
    <x v="0"/>
  </r>
  <r>
    <x v="3"/>
  </r>
  <r>
    <x v="0"/>
  </r>
  <r>
    <x v="2"/>
  </r>
  <r>
    <x v="2"/>
  </r>
  <r>
    <x v="0"/>
  </r>
  <r>
    <x v="0"/>
  </r>
  <r>
    <x v="1"/>
  </r>
  <r>
    <x v="0"/>
  </r>
  <r>
    <x v="0"/>
  </r>
  <r>
    <x v="2"/>
  </r>
  <r>
    <x v="0"/>
  </r>
  <r>
    <x v="0"/>
  </r>
  <r>
    <x v="0"/>
  </r>
  <r>
    <x v="1"/>
  </r>
  <r>
    <x v="2"/>
  </r>
  <r>
    <x v="1"/>
  </r>
  <r>
    <x v="2"/>
  </r>
  <r>
    <x v="0"/>
  </r>
  <r>
    <x v="1"/>
  </r>
  <r>
    <x v="1"/>
  </r>
  <r>
    <x v="2"/>
  </r>
  <r>
    <x v="1"/>
  </r>
  <r>
    <x v="1"/>
  </r>
  <r>
    <x v="2"/>
  </r>
  <r>
    <x v="2"/>
  </r>
  <r>
    <x v="2"/>
  </r>
  <r>
    <x v="0"/>
  </r>
  <r>
    <x v="2"/>
  </r>
  <r>
    <x v="0"/>
  </r>
  <r>
    <x v="0"/>
  </r>
  <r>
    <x v="0"/>
  </r>
  <r>
    <x v="2"/>
  </r>
  <r>
    <x v="2"/>
  </r>
  <r>
    <x v="1"/>
  </r>
  <r>
    <x v="2"/>
  </r>
  <r>
    <x v="2"/>
  </r>
  <r>
    <x v="2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2"/>
  </r>
  <r>
    <x v="0"/>
  </r>
  <r>
    <x v="2"/>
  </r>
  <r>
    <x v="2"/>
  </r>
  <r>
    <x v="0"/>
  </r>
  <r>
    <x v="0"/>
  </r>
  <r>
    <x v="2"/>
  </r>
  <r>
    <x v="2"/>
  </r>
  <r>
    <x v="1"/>
  </r>
  <r>
    <x v="0"/>
  </r>
  <r>
    <x v="0"/>
  </r>
  <r>
    <x v="0"/>
  </r>
  <r>
    <x v="0"/>
  </r>
  <r>
    <x v="2"/>
  </r>
  <r>
    <x v="0"/>
  </r>
  <r>
    <x v="0"/>
  </r>
  <r>
    <x v="1"/>
  </r>
  <r>
    <x v="2"/>
  </r>
  <r>
    <x v="2"/>
  </r>
  <r>
    <x v="2"/>
  </r>
  <r>
    <x v="0"/>
  </r>
  <r>
    <x v="0"/>
  </r>
  <r>
    <x v="2"/>
  </r>
  <r>
    <x v="0"/>
  </r>
  <r>
    <x v="2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1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2"/>
  </r>
  <r>
    <x v="0"/>
  </r>
  <r>
    <x v="2"/>
  </r>
  <r>
    <x v="1"/>
  </r>
  <r>
    <x v="2"/>
  </r>
  <r>
    <x v="0"/>
  </r>
  <r>
    <x v="1"/>
  </r>
  <r>
    <x v="2"/>
  </r>
  <r>
    <x v="0"/>
  </r>
  <r>
    <x v="0"/>
  </r>
  <r>
    <x v="0"/>
  </r>
  <r>
    <x v="0"/>
  </r>
  <r>
    <x v="1"/>
  </r>
  <r>
    <x v="0"/>
  </r>
  <r>
    <x v="2"/>
  </r>
  <r>
    <x v="1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2"/>
  </r>
  <r>
    <x v="0"/>
  </r>
  <r>
    <x v="2"/>
  </r>
  <r>
    <x v="0"/>
  </r>
  <r>
    <x v="0"/>
  </r>
  <r>
    <x v="0"/>
  </r>
  <r>
    <x v="1"/>
  </r>
  <r>
    <x v="2"/>
  </r>
  <r>
    <x v="1"/>
  </r>
  <r>
    <x v="2"/>
  </r>
  <r>
    <x v="2"/>
  </r>
  <r>
    <x v="2"/>
  </r>
  <r>
    <x v="2"/>
  </r>
  <r>
    <x v="0"/>
  </r>
  <r>
    <x v="0"/>
  </r>
  <r>
    <x v="2"/>
  </r>
  <r>
    <x v="0"/>
  </r>
  <r>
    <x v="1"/>
  </r>
  <r>
    <x v="2"/>
  </r>
  <r>
    <x v="0"/>
  </r>
  <r>
    <x v="1"/>
  </r>
  <r>
    <x v="2"/>
  </r>
  <r>
    <x v="0"/>
  </r>
  <r>
    <x v="2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2"/>
  </r>
  <r>
    <x v="2"/>
  </r>
  <r>
    <x v="1"/>
  </r>
  <r>
    <x v="1"/>
  </r>
  <r>
    <x v="0"/>
  </r>
  <r>
    <x v="0"/>
  </r>
  <r>
    <x v="1"/>
  </r>
  <r>
    <x v="0"/>
  </r>
  <r>
    <x v="0"/>
  </r>
  <r>
    <x v="0"/>
  </r>
  <r>
    <x v="0"/>
  </r>
  <r>
    <x v="3"/>
  </r>
  <r>
    <x v="2"/>
  </r>
  <r>
    <x v="0"/>
  </r>
  <r>
    <x v="0"/>
  </r>
  <r>
    <x v="2"/>
  </r>
  <r>
    <x v="1"/>
  </r>
  <r>
    <x v="0"/>
  </r>
  <r>
    <x v="0"/>
  </r>
  <r>
    <x v="1"/>
  </r>
  <r>
    <x v="2"/>
  </r>
  <r>
    <x v="0"/>
  </r>
  <r>
    <x v="0"/>
  </r>
  <r>
    <x v="0"/>
  </r>
  <r>
    <x v="0"/>
  </r>
  <r>
    <x v="1"/>
  </r>
  <r>
    <x v="1"/>
  </r>
  <r>
    <x v="0"/>
  </r>
  <r>
    <x v="0"/>
  </r>
  <r>
    <x v="2"/>
  </r>
  <r>
    <x v="1"/>
  </r>
  <r>
    <x v="1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2"/>
  </r>
  <r>
    <x v="2"/>
  </r>
  <r>
    <x v="1"/>
  </r>
  <r>
    <x v="0"/>
  </r>
  <r>
    <x v="2"/>
  </r>
  <r>
    <x v="0"/>
  </r>
  <r>
    <x v="0"/>
  </r>
  <r>
    <x v="2"/>
  </r>
  <r>
    <x v="0"/>
  </r>
  <r>
    <x v="2"/>
  </r>
  <r>
    <x v="0"/>
  </r>
  <r>
    <x v="2"/>
  </r>
  <r>
    <x v="0"/>
  </r>
  <r>
    <x v="2"/>
  </r>
  <r>
    <x v="1"/>
  </r>
  <r>
    <x v="1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1"/>
  </r>
  <r>
    <x v="0"/>
  </r>
  <r>
    <x v="2"/>
  </r>
  <r>
    <x v="2"/>
  </r>
  <r>
    <x v="2"/>
  </r>
  <r>
    <x v="1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">
  <r>
    <s v="Ativo"/>
    <s v="Aegn Baelish"/>
    <s v="000.000.240-00"/>
    <n v="47"/>
    <s v="25/06/1979"/>
    <s v="Meereen"/>
    <s v="Essos"/>
    <n v="28400"/>
    <n v="59500"/>
    <x v="0"/>
    <n v="37"/>
    <x v="0"/>
    <s v="Passa"/>
    <s v="Passa"/>
    <n v="86500"/>
    <n v="93420"/>
  </r>
  <r>
    <s v="Ativo"/>
    <s v="Aegn Blackwood"/>
    <s v="000.000.118-00"/>
    <n v="69"/>
    <s v="22/08/1957"/>
    <s v="Jardim de Cima"/>
    <s v="Campina"/>
    <n v="23800"/>
    <n v="62000"/>
    <x v="1"/>
    <n v="37"/>
    <x v="0"/>
    <s v="Negada"/>
    <s v="Negada"/>
    <n v="92500"/>
    <n v="0"/>
  </r>
  <r>
    <s v="Ativo"/>
    <s v="Aegn Bracken"/>
    <s v="000.000.244-00"/>
    <n v="69"/>
    <s v="27/09/1956"/>
    <s v="Correrrio"/>
    <s v="Terras Fluviais"/>
    <n v="8100"/>
    <n v="41000"/>
    <x v="2"/>
    <m/>
    <x v="1"/>
    <s v="Passa"/>
    <s v="Passa"/>
    <m/>
    <n v="0"/>
  </r>
  <r>
    <s v="Ativo"/>
    <s v="Aegn Clegane"/>
    <s v="000.000.000-30"/>
    <n v="36"/>
    <s v="04/02/1990"/>
    <s v="Meereen"/>
    <s v="Essos"/>
    <n v="16600"/>
    <n v="15000"/>
    <x v="0"/>
    <n v="42"/>
    <x v="0"/>
    <s v="Passa"/>
    <s v="Passa"/>
    <n v="8500"/>
    <n v="9180"/>
  </r>
  <r>
    <s v="Inativo"/>
    <s v="Aegn Flrent"/>
    <s v="000.000.271-00"/>
    <n v="55"/>
    <s v="23/11/1970"/>
    <s v="Meereen"/>
    <s v="Essos"/>
    <n v="6800"/>
    <n v="44000"/>
    <x v="0"/>
    <n v="22"/>
    <x v="2"/>
    <s v="Passa"/>
    <s v="Passa"/>
    <n v="56500"/>
    <n v="0"/>
  </r>
  <r>
    <s v="Ativo"/>
    <s v="Aegn Frey"/>
    <s v="000.000.338-00"/>
    <n v="56"/>
    <s v="18/11/1969"/>
    <s v="Dorne"/>
    <s v="Dorne"/>
    <n v="11100"/>
    <n v="32500"/>
    <x v="0"/>
    <n v="40"/>
    <x v="0"/>
    <s v="Passa"/>
    <s v="Passa"/>
    <n v="4500"/>
    <n v="4860"/>
  </r>
  <r>
    <s v="Inativo"/>
    <s v="Aegn Hrnwd"/>
    <s v="000.000.171-00"/>
    <n v="45"/>
    <s v="12/10/1980"/>
    <s v="Solar do Entardecer"/>
    <s v="Terras Da Tempestade"/>
    <n v="5100"/>
    <n v="49500"/>
    <x v="1"/>
    <n v="27"/>
    <x v="0"/>
    <s v="Negada"/>
    <s v="Passa"/>
    <n v="23000"/>
    <n v="0"/>
  </r>
  <r>
    <s v="Ativo"/>
    <s v="Aegn Marbrand"/>
    <s v="000.000.352-00"/>
    <n v="65"/>
    <s v="25/02/1961"/>
    <s v="Castelo Negro"/>
    <s v="Norte"/>
    <n v="3800"/>
    <n v="51500"/>
    <x v="1"/>
    <n v="44"/>
    <x v="0"/>
    <s v="Negada"/>
    <s v="Negada"/>
    <n v="24000"/>
    <n v="0"/>
  </r>
  <r>
    <s v="Ativo"/>
    <s v="Aegn Redwyne"/>
    <s v="000.000.347-00"/>
    <n v="19"/>
    <s v="26/10/2006"/>
    <s v="Pyke"/>
    <s v="Ilhas De Ferro"/>
    <n v="14900"/>
    <n v="69000"/>
    <x v="0"/>
    <n v="15"/>
    <x v="2"/>
    <s v="Passa"/>
    <s v="Passa"/>
    <n v="39500"/>
    <n v="42660"/>
  </r>
  <r>
    <s v="Inativo"/>
    <s v="Aegn Umber"/>
    <s v="000.000.356-00"/>
    <n v="66"/>
    <s v="07/04/1960"/>
    <s v="Meereen"/>
    <s v="Essos"/>
    <n v="16800"/>
    <n v="15000"/>
    <x v="2"/>
    <m/>
    <x v="1"/>
    <s v="Passa"/>
    <s v="Passa"/>
    <m/>
    <n v="0"/>
  </r>
  <r>
    <s v="Ativo"/>
    <s v="Arya Bltn"/>
    <s v="000.000.072-00"/>
    <n v="72"/>
    <s v="05/08/1954"/>
    <s v="Solar do Entardecer"/>
    <s v="Terras Da Tempestade"/>
    <n v="27100"/>
    <n v="60500"/>
    <x v="2"/>
    <n v="15"/>
    <x v="2"/>
    <s v="Passa"/>
    <s v="Passa"/>
    <n v="74500"/>
    <n v="80460"/>
  </r>
  <r>
    <s v="Ativo"/>
    <s v="Arya Marbrand"/>
    <s v="000.000.133-00"/>
    <n v="24"/>
    <s v="08/10/2001"/>
    <s v="Ninho da Águia"/>
    <s v="Vale"/>
    <n v="21600"/>
    <m/>
    <x v="0"/>
    <n v="13"/>
    <x v="2"/>
    <s v="Passa"/>
    <s v="Passa"/>
    <n v="70000"/>
    <n v="75600"/>
  </r>
  <r>
    <s v="Ativo"/>
    <s v="Arya Redwyne"/>
    <s v="000.000.333-00"/>
    <n v="21"/>
    <s v="02/12/2004"/>
    <s v="Correrrio"/>
    <s v="Terras Fluviais"/>
    <n v="3800"/>
    <n v="51500"/>
    <x v="0"/>
    <n v="14"/>
    <x v="2"/>
    <s v="Passa"/>
    <s v="Passa"/>
    <n v="29500"/>
    <n v="31860.000000000004"/>
  </r>
  <r>
    <s v="Inativo"/>
    <s v="Asha Arryn"/>
    <s v="000.000.122-00"/>
    <n v="49"/>
    <s v="16/10/1976"/>
    <s v="Castelo Negro"/>
    <s v="Norte"/>
    <n v="25200"/>
    <m/>
    <x v="0"/>
    <n v="18"/>
    <x v="2"/>
    <s v="Passa"/>
    <s v="Passa"/>
    <n v="64000"/>
    <n v="0"/>
  </r>
  <r>
    <s v="Ativo"/>
    <s v="Asha Barathen"/>
    <s v="000.000.195-00"/>
    <n v="70"/>
    <s v="25/04/1956"/>
    <s v="Braavos"/>
    <s v="Essos"/>
    <n v="16300"/>
    <n v="16000"/>
    <x v="2"/>
    <n v="32"/>
    <x v="0"/>
    <s v="Passa"/>
    <s v="Passa"/>
    <n v="31500"/>
    <n v="34020"/>
  </r>
  <r>
    <s v="Ativo"/>
    <s v="Asha Blackwd"/>
    <s v="000.000.085-00"/>
    <n v="50"/>
    <s v="05/06/1976"/>
    <s v="Dorne"/>
    <s v="Dorne"/>
    <n v="16100"/>
    <n v="16500"/>
    <x v="1"/>
    <n v="38"/>
    <x v="0"/>
    <s v="Negada"/>
    <s v="Passa"/>
    <n v="15500"/>
    <n v="0"/>
  </r>
  <r>
    <s v="Inativo"/>
    <s v="Asha Bltn"/>
    <s v="000.000.069-00"/>
    <n v="51"/>
    <s v="15/07/1975"/>
    <s v="Castelo Negro"/>
    <s v="Norte"/>
    <n v="19400"/>
    <n v="66000"/>
    <x v="2"/>
    <n v="11"/>
    <x v="2"/>
    <s v="Passa"/>
    <s v="Passa"/>
    <n v="4500"/>
    <n v="0"/>
  </r>
  <r>
    <s v="Ativo"/>
    <s v="Asha Hrnwd"/>
    <s v="000.000.363-00"/>
    <n v="33"/>
    <s v="24/06/1993"/>
    <s v="Pedra do Dragão"/>
    <s v="Terras da Coroa"/>
    <n v="21500"/>
    <m/>
    <x v="0"/>
    <n v="3"/>
    <x v="1"/>
    <s v="Passa"/>
    <s v="Passa"/>
    <n v="48500"/>
    <n v="52380"/>
  </r>
  <r>
    <s v="Inativo"/>
    <s v="Asha Manderly"/>
    <s v="000.000.357-00"/>
    <n v="29"/>
    <s v="26/06/1997"/>
    <s v="Ilha dos Ursos"/>
    <s v="Norte"/>
    <n v="13800"/>
    <n v="23000"/>
    <x v="2"/>
    <m/>
    <x v="1"/>
    <s v="Passa"/>
    <s v="Passa"/>
    <m/>
    <n v="0"/>
  </r>
  <r>
    <s v="Ativo"/>
    <s v="Asha Redwyne"/>
    <s v="000.000.102-00"/>
    <n v="35"/>
    <s v="25/07/1991"/>
    <s v="Pedra do Dragão"/>
    <s v="Terras da Coroa"/>
    <n v="8400"/>
    <n v="76500"/>
    <x v="1"/>
    <n v="33"/>
    <x v="0"/>
    <s v="Negada"/>
    <s v="Negada"/>
    <n v="26000"/>
    <n v="0"/>
  </r>
  <r>
    <s v="Ativo"/>
    <s v="Asha Tallhart"/>
    <s v="000.000.006-00"/>
    <n v="59"/>
    <s v="26/08/1967"/>
    <s v="Correrrio"/>
    <s v="Terras Fluviais"/>
    <n v="19900"/>
    <n v="66000"/>
    <x v="0"/>
    <n v="24"/>
    <x v="2"/>
    <s v="Passa"/>
    <s v="Passa"/>
    <n v="72000"/>
    <n v="77760"/>
  </r>
  <r>
    <s v="Ativo"/>
    <s v="Asha Tallhart"/>
    <s v="000.000.086-00"/>
    <m/>
    <s v="27/04/1988"/>
    <s v="Pyke"/>
    <s v="Ilhas De Ferro"/>
    <n v="17600"/>
    <n v="12000"/>
    <x v="1"/>
    <n v="27"/>
    <x v="0"/>
    <s v="Negada"/>
    <s v="Passa"/>
    <n v="67500"/>
    <n v="0"/>
  </r>
  <r>
    <s v="Ativo"/>
    <s v="Beric  Karstark"/>
    <s v="000.000.172-00"/>
    <n v="37"/>
    <s v="21/06/1989"/>
    <s v="Braavos"/>
    <s v="Essos"/>
    <n v="28900"/>
    <m/>
    <x v="2"/>
    <m/>
    <x v="1"/>
    <s v="Passa"/>
    <s v="Passa"/>
    <m/>
    <n v="0"/>
  </r>
  <r>
    <s v="Ativo"/>
    <s v="Beric Crakehall"/>
    <s v="000.000.067-00"/>
    <n v="55"/>
    <s v="20/06/1971"/>
    <s v="Pyke"/>
    <s v="Ilhas De Ferro"/>
    <n v="22100"/>
    <n v="63000"/>
    <x v="0"/>
    <n v="0"/>
    <x v="1"/>
    <s v="Passa"/>
    <s v="Passa"/>
    <n v="56000"/>
    <n v="60480.000000000007"/>
  </r>
  <r>
    <s v="Inativo"/>
    <s v="Beric Manderly"/>
    <s v="000.000.243-00"/>
    <n v="25"/>
    <s v="28/08/2001"/>
    <s v="Lannisport"/>
    <s v="Westeros"/>
    <n v="24500"/>
    <n v="62000"/>
    <x v="0"/>
    <n v="22"/>
    <x v="2"/>
    <s v="Passa"/>
    <s v="Passa"/>
    <n v="62000"/>
    <n v="0"/>
  </r>
  <r>
    <s v="Ativo"/>
    <s v="Beric Seawrth"/>
    <s v="000.000.025-00"/>
    <n v="72"/>
    <s v="17/03/1954"/>
    <s v="Correrrio"/>
    <s v="Terras Fluviais"/>
    <n v="24300"/>
    <m/>
    <x v="1"/>
    <n v="31"/>
    <x v="0"/>
    <s v="Negada"/>
    <s v="Passa"/>
    <n v="89500"/>
    <n v="0"/>
  </r>
  <r>
    <s v="Ativo"/>
    <s v="Beric Tallhart"/>
    <s v="000.000.000-48"/>
    <n v="33"/>
    <s v="25/04/1993"/>
    <s v="Ilha dos Ursos"/>
    <s v="Norte"/>
    <n v="2970000"/>
    <m/>
    <x v="2"/>
    <m/>
    <x v="1"/>
    <s v="Passa"/>
    <s v="Passa"/>
    <m/>
    <n v="0"/>
  </r>
  <r>
    <s v="Inativo"/>
    <s v="Beric Tallhart"/>
    <s v="000.000.291-00"/>
    <n v="44"/>
    <s v="28/12/1981"/>
    <s v="Dorne"/>
    <s v="Dorne"/>
    <m/>
    <m/>
    <x v="2"/>
    <m/>
    <x v="1"/>
    <s v="Passa"/>
    <s v="Passa"/>
    <m/>
    <n v="0"/>
  </r>
  <r>
    <s v="Ativo"/>
    <s v="Beric Tyrell"/>
    <s v="000.000.242-00"/>
    <n v="66"/>
    <s v="23/08/1960"/>
    <s v="Vilavelha"/>
    <s v="Campina"/>
    <n v="11800"/>
    <n v="28000"/>
    <x v="0"/>
    <n v="41"/>
    <x v="0"/>
    <s v="Passa"/>
    <s v="Passa"/>
    <n v="52500"/>
    <n v="56700.000000000007"/>
  </r>
  <r>
    <s v="Ativo"/>
    <s v="Beric Tyrell"/>
    <s v="000.000.103-00"/>
    <n v="20"/>
    <s v="28/08/2006"/>
    <s v="Cole Foss"/>
    <s v="Norte"/>
    <n v="18200"/>
    <n v="8000"/>
    <x v="1"/>
    <n v="30"/>
    <x v="0"/>
    <s v="Negada"/>
    <s v="Passa"/>
    <n v="27000"/>
    <n v="0"/>
  </r>
  <r>
    <s v="Ativo"/>
    <s v="Bran Bltn"/>
    <s v="000.000.003-00"/>
    <n v="23"/>
    <s v="13/06/2003"/>
    <s v="Porto Real"/>
    <s v="Terras da Coroa"/>
    <n v="17900"/>
    <n v="67500"/>
    <x v="2"/>
    <m/>
    <x v="1"/>
    <s v="Passa"/>
    <s v="Passa"/>
    <m/>
    <n v="0"/>
  </r>
  <r>
    <s v="Ativo"/>
    <s v="Bran Dayne"/>
    <s v="000.000.288-00"/>
    <n v="48"/>
    <s v="11/01/1977"/>
    <s v="Pyke"/>
    <s v="Ilhas De Ferro"/>
    <n v="4500"/>
    <n v="49500"/>
    <x v="0"/>
    <n v="25"/>
    <x v="2"/>
    <s v="Passa"/>
    <s v="Passa"/>
    <n v="46500"/>
    <n v="50220"/>
  </r>
  <r>
    <s v="Ativo"/>
    <s v="Bran Dndarrin"/>
    <s v="000.000.049-00"/>
    <n v="18"/>
    <s v="14/10/2007"/>
    <s v="Meereen"/>
    <s v="Essos"/>
    <n v="18500"/>
    <n v="6500"/>
    <x v="0"/>
    <n v="1"/>
    <x v="1"/>
    <s v="Passa"/>
    <s v="Passa"/>
    <n v="98500"/>
    <n v="106380"/>
  </r>
  <r>
    <s v="Ativo"/>
    <s v="Bran Flrent"/>
    <s v="000.000.218-00"/>
    <n v="62"/>
    <s v="21/04/1964"/>
    <s v="Ninho da Águia"/>
    <s v="Vale"/>
    <m/>
    <m/>
    <x v="2"/>
    <m/>
    <x v="1"/>
    <s v="Passa"/>
    <s v="Passa"/>
    <m/>
    <n v="0"/>
  </r>
  <r>
    <s v="Ativo"/>
    <s v="Bran Frey"/>
    <s v="000.000.189-00"/>
    <n v="39"/>
    <s v="07/10/1987"/>
    <s v="Ilha dos Ursos"/>
    <s v="Norte"/>
    <n v="8000"/>
    <n v="41000"/>
    <x v="2"/>
    <m/>
    <x v="1"/>
    <s v="Passa"/>
    <s v="Passa"/>
    <m/>
    <n v="0"/>
  </r>
  <r>
    <s v="Ativo"/>
    <s v="Bran Frey"/>
    <s v="000.000.000-42"/>
    <n v="33"/>
    <s v="06/08/1992"/>
    <s v=" Braavos"/>
    <s v="Essos"/>
    <n v="29200"/>
    <m/>
    <x v="2"/>
    <m/>
    <x v="1"/>
    <s v="Passa"/>
    <s v="Passa"/>
    <m/>
    <n v="0"/>
  </r>
  <r>
    <s v="Inativo"/>
    <s v="Bran Karstark"/>
    <s v="000.000.241-00"/>
    <n v="21"/>
    <s v="12/07/2004"/>
    <s v="Pyke"/>
    <s v="Ilhas De Ferro"/>
    <n v="4400"/>
    <n v="50000"/>
    <x v="1"/>
    <n v="9"/>
    <x v="1"/>
    <s v="Passa"/>
    <s v="Passa"/>
    <n v="25000"/>
    <n v="0"/>
  </r>
  <r>
    <s v="Ativo"/>
    <s v="Bran Tarly"/>
    <s v="000.000.269-00"/>
    <n v="53"/>
    <s v="05/06/1973"/>
    <s v="Braavos"/>
    <s v="Essos"/>
    <m/>
    <m/>
    <x v="2"/>
    <m/>
    <x v="1"/>
    <s v="Passa"/>
    <s v="Passa"/>
    <m/>
    <n v="0"/>
  </r>
  <r>
    <s v="Ativo"/>
    <s v="Bran Umber"/>
    <s v="000.000.132-00"/>
    <n v="29"/>
    <s v="26/09/1996"/>
    <s v="Pyke"/>
    <s v="Ilhas De Ferro"/>
    <n v="19500"/>
    <n v="5500"/>
    <x v="0"/>
    <n v="35"/>
    <x v="0"/>
    <s v="Passa"/>
    <s v="Passa"/>
    <n v="21000"/>
    <n v="22680"/>
  </r>
  <r>
    <s v="Ativo"/>
    <s v="Bran Yrnwd"/>
    <s v="000.000.057-00"/>
    <n v="42"/>
    <s v="15/07/1984"/>
    <s v="Pyke"/>
    <s v="Ilhas De Ferro"/>
    <n v="17500"/>
    <n v="12500"/>
    <x v="0"/>
    <n v="41"/>
    <x v="0"/>
    <s v="Passa"/>
    <s v="Passa"/>
    <n v="99500"/>
    <n v="107460"/>
  </r>
  <r>
    <s v="Ativo"/>
    <s v="Brienne Dayne"/>
    <s v="000.000.070-00"/>
    <n v="62"/>
    <s v="22/11/1963"/>
    <s v="Pedra do Dragão"/>
    <s v="Terras da Coroa"/>
    <n v="11900"/>
    <n v="27500"/>
    <x v="0"/>
    <n v="42"/>
    <x v="0"/>
    <s v="Passa"/>
    <s v="Passa"/>
    <n v="72500"/>
    <n v="78300"/>
  </r>
  <r>
    <s v="Ativo"/>
    <s v="Brienne Dndarrin"/>
    <s v="000.000.256-00"/>
    <n v="39"/>
    <s v="02/06/1987"/>
    <s v="Ilha dos Ursos"/>
    <s v="Norte"/>
    <n v="9300"/>
    <n v="75000"/>
    <x v="0"/>
    <n v="6"/>
    <x v="1"/>
    <s v="Passa"/>
    <s v="Passa"/>
    <n v="63500"/>
    <n v="68580"/>
  </r>
  <r>
    <s v="Ativo"/>
    <s v="Brienne Glver"/>
    <s v="000.000.355-00"/>
    <n v="67"/>
    <s v="03/12/1958"/>
    <s v="Solar do Entardecer"/>
    <s v="Terras Da Tempestade"/>
    <n v="11300"/>
    <n v="32000"/>
    <x v="1"/>
    <n v="26"/>
    <x v="0"/>
    <s v="Negada"/>
    <s v="Passa"/>
    <n v="59000"/>
    <n v="0"/>
  </r>
  <r>
    <s v="Ativo"/>
    <s v="Brienne Karstark"/>
    <s v="000.000.031-00"/>
    <n v="23"/>
    <s v="01/10/2002"/>
    <s v="Pyke"/>
    <s v="Ilhas De Ferro"/>
    <n v="10700"/>
    <n v="34500"/>
    <x v="0"/>
    <n v="29"/>
    <x v="0"/>
    <s v="Passa"/>
    <s v="Passa"/>
    <n v="10500"/>
    <n v="11340"/>
  </r>
  <r>
    <s v="Ativo"/>
    <s v="Brienne Mallister"/>
    <s v="000.000.202-00"/>
    <n v="53"/>
    <s v="25/06/1973"/>
    <s v="Ilha dos Ursos"/>
    <s v="Norte"/>
    <n v="9500"/>
    <n v="38500"/>
    <x v="0"/>
    <n v="7"/>
    <x v="1"/>
    <s v="Passa"/>
    <s v="Passa"/>
    <n v="11000"/>
    <n v="11880"/>
  </r>
  <r>
    <s v="Ativo"/>
    <s v="Brienne Manderly"/>
    <s v="000.000.076-00"/>
    <n v="28"/>
    <s v="02/04/1998"/>
    <s v="Lannisport"/>
    <s v="Westeros"/>
    <n v="8600"/>
    <n v="40500"/>
    <x v="0"/>
    <n v="43"/>
    <x v="0"/>
    <s v="Passa"/>
    <s v="Passa"/>
    <n v="24500"/>
    <n v="26460"/>
  </r>
  <r>
    <s v="Ativo"/>
    <s v="Brienne Manderly"/>
    <s v="000.000.140-00"/>
    <n v="29"/>
    <s v="11/02/1997"/>
    <s v="Cole Foss"/>
    <s v="Norte"/>
    <n v="11900"/>
    <n v="27000"/>
    <x v="0"/>
    <n v="28"/>
    <x v="0"/>
    <s v="Passa"/>
    <s v="Passa"/>
    <n v="28500"/>
    <n v="30780.000000000004"/>
  </r>
  <r>
    <s v="Inativo"/>
    <s v="Brienne Reed"/>
    <s v="000.000.306-00"/>
    <n v="68"/>
    <s v="18/04/1958"/>
    <s v="Pyke"/>
    <s v="Ilhas De Ferro"/>
    <n v="3800"/>
    <n v="51000"/>
    <x v="0"/>
    <n v="10"/>
    <x v="1"/>
    <s v="Passa"/>
    <s v="Passa"/>
    <n v="90500"/>
    <n v="0"/>
  </r>
  <r>
    <s v="Ativo"/>
    <s v="Brienne Ryce"/>
    <s v="000.000.108-00"/>
    <n v="39"/>
    <s v="20/12/1986"/>
    <s v="Vilavelha"/>
    <s v="Campina"/>
    <n v="24700"/>
    <m/>
    <x v="2"/>
    <n v="11"/>
    <x v="2"/>
    <s v="Passa"/>
    <s v="Passa"/>
    <n v="75500"/>
    <n v="81540"/>
  </r>
  <r>
    <s v="Ativo"/>
    <s v="Brienne Westerling"/>
    <s v="000.000.379-00"/>
    <n v="59"/>
    <s v="16/04/1967"/>
    <s v="Atalaia da Água Cinzenta"/>
    <s v="Gargalo"/>
    <n v="6600"/>
    <n v="44500"/>
    <x v="0"/>
    <n v="45"/>
    <x v="0"/>
    <s v="Passa"/>
    <s v="Passa"/>
    <n v="3000"/>
    <n v="3240"/>
  </r>
  <r>
    <s v="Ativo"/>
    <s v="Brnn Arryn"/>
    <s v="000.000.016-00"/>
    <n v="44"/>
    <s v="24/01/1982"/>
    <s v="Lannisport"/>
    <s v="Westeros"/>
    <n v="5300"/>
    <n v="48500"/>
    <x v="2"/>
    <m/>
    <x v="1"/>
    <s v="Passa"/>
    <s v="Passa"/>
    <m/>
    <n v="0"/>
  </r>
  <r>
    <s v="Inativo"/>
    <s v="Brnn Barathen"/>
    <s v="000.000.325-00"/>
    <n v="48"/>
    <s v="17/11/1977"/>
    <s v="Pedra do Dragão"/>
    <s v="Terras da Coroa"/>
    <n v="6900"/>
    <n v="43500"/>
    <x v="0"/>
    <n v="27"/>
    <x v="0"/>
    <s v="Passa"/>
    <s v="Passa"/>
    <n v="23500"/>
    <n v="0"/>
  </r>
  <r>
    <s v="Ativo"/>
    <s v="Brnn Blackwd"/>
    <s v="000.000.052-00"/>
    <n v="43"/>
    <s v="24/12/1982"/>
    <s v="Atalaia da Água Cinzenta"/>
    <s v="Gargalo"/>
    <n v="18400"/>
    <n v="66500"/>
    <x v="1"/>
    <n v="38"/>
    <x v="0"/>
    <s v="Negada"/>
    <s v="Negada"/>
    <n v="42500"/>
    <n v="0"/>
  </r>
  <r>
    <s v="Ativo"/>
    <s v="Brnn Bltn"/>
    <s v="000.000.143-00"/>
    <n v="26"/>
    <s v="03/04/2000"/>
    <s v="Harrenhal"/>
    <s v="Terras Fluviais"/>
    <n v="26800"/>
    <m/>
    <x v="0"/>
    <n v="21"/>
    <x v="2"/>
    <s v="Passa"/>
    <s v="Passa"/>
    <n v="61500"/>
    <n v="66420"/>
  </r>
  <r>
    <s v="Ativo"/>
    <s v="Brnn Crakehall"/>
    <s v="000.000.295-00"/>
    <n v="68"/>
    <s v="16/09/1957"/>
    <s v="Atalaia da Água Cinzenta"/>
    <s v="Gargalo"/>
    <n v="3600"/>
    <n v="52000"/>
    <x v="0"/>
    <n v="30"/>
    <x v="0"/>
    <s v="Passa"/>
    <s v="Passa"/>
    <n v="62500"/>
    <n v="67500"/>
  </r>
  <r>
    <s v="Ativo"/>
    <s v="Brnn Dn Arrin"/>
    <s v="000.000.000-36"/>
    <n v="49"/>
    <s v="N/A"/>
    <s v=" Jardim de Cima"/>
    <s v="Campina"/>
    <n v="20300"/>
    <n v="3500"/>
    <x v="0"/>
    <n v="19"/>
    <x v="2"/>
    <s v="Passa"/>
    <s v="Passa"/>
    <n v="62000"/>
    <n v="66960"/>
  </r>
  <r>
    <s v="Ativo"/>
    <s v="Brnn Dndarrin"/>
    <s v="000.000.036-00"/>
    <n v="49"/>
    <s v="01/11/1977"/>
    <s v="Jardim de Cima"/>
    <s v="Campina"/>
    <n v="20300"/>
    <n v="3500"/>
    <x v="0"/>
    <n v="1"/>
    <x v="1"/>
    <s v="Passa"/>
    <s v="Passa"/>
    <n v="23500"/>
    <n v="25380"/>
  </r>
  <r>
    <s v="Ativo"/>
    <s v="Brnn Mallister"/>
    <s v="000.000.200-00"/>
    <n v="35"/>
    <s v="N/A"/>
    <s v="Vilavelha"/>
    <s v="Campina"/>
    <n v="28000"/>
    <m/>
    <x v="2"/>
    <m/>
    <x v="1"/>
    <s v="Passa"/>
    <s v="Passa"/>
    <m/>
    <n v="0"/>
  </r>
  <r>
    <s v="Inativo"/>
    <s v="Brnn Manderly"/>
    <s v="000.000.074-00"/>
    <n v="69"/>
    <s v="26/11/1956"/>
    <s v="Castelo Negro"/>
    <s v="Norte"/>
    <n v="16000"/>
    <n v="16500"/>
    <x v="0"/>
    <n v="22"/>
    <x v="2"/>
    <s v="Passa"/>
    <s v="Passa"/>
    <n v="34500"/>
    <n v="0"/>
  </r>
  <r>
    <s v="Ativo"/>
    <s v="Brnn Ryce"/>
    <s v="000.000.369-00"/>
    <n v="61"/>
    <s v="05/07/1965"/>
    <s v="Solar do Entardecer"/>
    <s v="Terras Da Tempestade"/>
    <n v="22900"/>
    <m/>
    <x v="0"/>
    <n v="23"/>
    <x v="2"/>
    <s v="Passa"/>
    <s v="Passa"/>
    <n v="68000"/>
    <n v="73440"/>
  </r>
  <r>
    <s v="Ativo"/>
    <s v="Brnn Stark"/>
    <s v="000.000.313-00"/>
    <n v="30"/>
    <s v="25/04/1996"/>
    <s v="Ilha dos Ursos"/>
    <s v="Norte"/>
    <n v="13800"/>
    <n v="70000"/>
    <x v="1"/>
    <n v="14"/>
    <x v="2"/>
    <s v="Passa"/>
    <s v="Negada"/>
    <n v="25500"/>
    <n v="0"/>
  </r>
  <r>
    <s v="N/A"/>
    <s v="Brnn Umber"/>
    <s v="000.000.177-00"/>
    <n v="56"/>
    <s v="17/05/1970"/>
    <s v="Porto Real"/>
    <s v="Terras da Coroa"/>
    <n v="11100"/>
    <n v="73500"/>
    <x v="2"/>
    <m/>
    <x v="1"/>
    <s v="Passa"/>
    <s v="Passa"/>
    <m/>
    <n v="0"/>
  </r>
  <r>
    <s v="Ativo"/>
    <s v="Catelyn  Dayne"/>
    <s v="000.000.213-00"/>
    <n v="68"/>
    <s v="21/11/1957"/>
    <s v="Ponta Tempestade"/>
    <s v="Terras Da Tempestade"/>
    <n v="24500"/>
    <m/>
    <x v="2"/>
    <n v="32"/>
    <x v="0"/>
    <s v="Passa"/>
    <s v="Passa"/>
    <n v="61500"/>
    <n v="66420"/>
  </r>
  <r>
    <s v="Ativo"/>
    <s v="Catelyn Cerwyn"/>
    <s v="000.000.308-00"/>
    <n v="60"/>
    <s v="12/06/1965"/>
    <s v="Atalaia da Água Cinzenta"/>
    <s v="Gargalo"/>
    <n v="13800"/>
    <n v="70500"/>
    <x v="0"/>
    <n v="33"/>
    <x v="0"/>
    <s v="Passa"/>
    <s v="Passa"/>
    <n v="78000"/>
    <n v="84240"/>
  </r>
  <r>
    <s v="Ativo"/>
    <s v="Catelyn Lannister"/>
    <s v="000.000.110-00"/>
    <n v="33"/>
    <s v="11/04/1993"/>
    <s v="Solar do Entardecer"/>
    <s v="Terras Da Tempestade"/>
    <n v="29300"/>
    <m/>
    <x v="2"/>
    <m/>
    <x v="1"/>
    <s v="Passa"/>
    <s v="Passa"/>
    <m/>
    <n v="0"/>
  </r>
  <r>
    <s v="Ativo"/>
    <s v="Catelyn Mallister"/>
    <s v="000.000.062-00"/>
    <n v="63"/>
    <s v="26/12/1962"/>
    <s v="Castelo Negro"/>
    <s v="Norte"/>
    <n v="11200"/>
    <n v="32500"/>
    <x v="1"/>
    <n v="15"/>
    <x v="2"/>
    <s v="Passa"/>
    <s v="Passa"/>
    <n v="8000"/>
    <n v="8640"/>
  </r>
  <r>
    <s v="Ativo"/>
    <s v="Catelyn Tarly"/>
    <s v="000.000.163-00"/>
    <n v="27"/>
    <s v="04/05/1999"/>
    <s v="Castelo Negro"/>
    <s v="Norte"/>
    <n v="14000"/>
    <n v="22000"/>
    <x v="0"/>
    <n v="10"/>
    <x v="1"/>
    <s v="Passa"/>
    <s v="Passa"/>
    <n v="97000"/>
    <n v="104760"/>
  </r>
  <r>
    <s v="Ativo"/>
    <s v="Catelyn Umber"/>
    <s v="000.000.099-00"/>
    <n v="64"/>
    <s v="07/01/1962"/>
    <s v="Harrenhal"/>
    <s v="Terras Fluviais"/>
    <n v="2900"/>
    <n v="78500"/>
    <x v="0"/>
    <n v="34"/>
    <x v="0"/>
    <s v="Passa"/>
    <s v="Passa"/>
    <n v="23000"/>
    <n v="24840"/>
  </r>
  <r>
    <s v="Ativo"/>
    <s v="Catelyn Westerling"/>
    <s v="000.000.358-00"/>
    <n v="70"/>
    <s v="01/03/1956"/>
    <s v="Braavos"/>
    <s v="Essos"/>
    <n v="19500"/>
    <n v="5500"/>
    <x v="0"/>
    <n v="11"/>
    <x v="2"/>
    <s v="Passa"/>
    <s v="Passa"/>
    <n v="56000"/>
    <n v="60480.000000000007"/>
  </r>
  <r>
    <s v="Ativo"/>
    <s v="Catelyn Yrnwd"/>
    <s v="000.000.226-00"/>
    <n v="38"/>
    <s v="24/01/1988"/>
    <s v="Castelo Negro"/>
    <s v="Norte"/>
    <n v="19500"/>
    <n v="5500"/>
    <x v="0"/>
    <n v="23"/>
    <x v="2"/>
    <s v="Passa"/>
    <s v="Passa"/>
    <n v="67000"/>
    <n v="72360"/>
  </r>
  <r>
    <s v="Inativo"/>
    <s v="Cersei  Marbrand"/>
    <s v="000.000.158-00"/>
    <n v="57"/>
    <s v="05/01/1969"/>
    <s v="Ilha dos Ursos"/>
    <s v="Norte"/>
    <n v="9500"/>
    <n v="38000"/>
    <x v="1"/>
    <n v="41"/>
    <x v="0"/>
    <s v="Negada"/>
    <s v="Passa"/>
    <n v="83500"/>
    <n v="0"/>
  </r>
  <r>
    <s v="Ativo"/>
    <s v="Cersei Clegane"/>
    <s v="000.000.323-00"/>
    <n v="24"/>
    <s v="03/01/2002"/>
    <s v="Dorne"/>
    <s v="Dorne"/>
    <n v="25200"/>
    <m/>
    <x v="0"/>
    <n v="38"/>
    <x v="0"/>
    <s v="Passa"/>
    <s v="Passa"/>
    <n v="72000"/>
    <n v="77760"/>
  </r>
  <r>
    <s v="Inativo"/>
    <s v="Cersei Glver"/>
    <s v="000.000.324-00"/>
    <n v="49"/>
    <s v="06/10/1977"/>
    <s v="Pyke"/>
    <s v="Ilhas De Ferro"/>
    <n v="21900"/>
    <m/>
    <x v="0"/>
    <n v="38"/>
    <x v="0"/>
    <s v="Passa"/>
    <s v="Passa"/>
    <n v="44500"/>
    <n v="0"/>
  </r>
  <r>
    <s v="Ativo"/>
    <s v="Cersei Greyjy"/>
    <s v="000.000.265-00"/>
    <n v="47"/>
    <s v="17/12/1978"/>
    <s v="Dorne"/>
    <s v="Dorne"/>
    <n v="21300"/>
    <m/>
    <x v="0"/>
    <n v="39"/>
    <x v="0"/>
    <s v="Passa"/>
    <s v="Passa"/>
    <n v="75000"/>
    <n v="81000"/>
  </r>
  <r>
    <s v="Ativo"/>
    <s v="Cersei Stark"/>
    <s v="000.000.293-00"/>
    <n v="25"/>
    <s v="19/07/2001"/>
    <s v="Ninho da Águia"/>
    <s v="Vale"/>
    <n v="28800"/>
    <n v="59000"/>
    <x v="1"/>
    <n v="35"/>
    <x v="0"/>
    <s v="Negada"/>
    <s v="Negada"/>
    <n v="39000"/>
    <n v="0"/>
  </r>
  <r>
    <s v="Ativo"/>
    <s v="Cersei Tarth"/>
    <s v="000.000.147-00"/>
    <n v="52"/>
    <s v="14/09/1973"/>
    <s v="Ilha dos Ursos"/>
    <s v="Norte"/>
    <n v="7300"/>
    <n v="41500"/>
    <x v="0"/>
    <n v="18"/>
    <x v="2"/>
    <s v="Passa"/>
    <s v="Passa"/>
    <n v="65000"/>
    <n v="70200"/>
  </r>
  <r>
    <s v="Inativo"/>
    <s v="Cersei Tarth"/>
    <s v="000.000.203-00"/>
    <n v="46"/>
    <s v="25/07/1980"/>
    <s v="Harrenhal"/>
    <s v="Terras Fluviais"/>
    <m/>
    <m/>
    <x v="2"/>
    <m/>
    <x v="1"/>
    <s v="Passa"/>
    <s v="Passa"/>
    <m/>
    <n v="0"/>
  </r>
  <r>
    <s v="Ativo"/>
    <s v="Cersei Umber"/>
    <s v="000.000.058-00"/>
    <n v="62"/>
    <s v="N/A"/>
    <s v="Jardim de Cima"/>
    <s v="Campina"/>
    <n v="1900"/>
    <n v="56000"/>
    <x v="0"/>
    <n v="6"/>
    <x v="1"/>
    <s v="Passa"/>
    <s v="Passa"/>
    <n v="77000"/>
    <n v="83160"/>
  </r>
  <r>
    <s v="Ativo"/>
    <s v="Daari  Dayne"/>
    <s v="000.000.144-00"/>
    <n v="25"/>
    <s v="15/05/2001"/>
    <s v="Solar do Entardecer"/>
    <s v="Terras Da Tempestade"/>
    <n v="28200"/>
    <m/>
    <x v="2"/>
    <m/>
    <x v="1"/>
    <s v="Passa"/>
    <s v="Passa"/>
    <m/>
    <n v="0"/>
  </r>
  <r>
    <s v="Inativo"/>
    <s v="Daari Arryn"/>
    <s v="000.000.173-00"/>
    <n v="63"/>
    <s v="18/04/1963"/>
    <s v="Ninho da Águia"/>
    <s v="Vale"/>
    <n v="9300"/>
    <n v="39000"/>
    <x v="0"/>
    <n v="25"/>
    <x v="2"/>
    <s v="Passa"/>
    <s v="Passa"/>
    <n v="88500"/>
    <n v="0"/>
  </r>
  <r>
    <s v="Inativo"/>
    <s v="Daari Cerwyn"/>
    <s v="000.000.175-00"/>
    <n v="60"/>
    <s v="15/12/1965"/>
    <s v="Lannisport"/>
    <s v="Westeros"/>
    <n v="10100"/>
    <n v="36000"/>
    <x v="0"/>
    <n v="19"/>
    <x v="2"/>
    <s v="Passa"/>
    <s v="Passa"/>
    <n v="37500"/>
    <n v="0"/>
  </r>
  <r>
    <s v="Ativo"/>
    <s v="Daari Clegane"/>
    <s v="000.000.270-00"/>
    <n v="33"/>
    <s v="10/04/1992"/>
    <s v="Castelo Negro"/>
    <s v="Norte"/>
    <n v="29700"/>
    <n v="58000"/>
    <x v="2"/>
    <n v="5"/>
    <x v="1"/>
    <s v="Passa"/>
    <s v="Passa"/>
    <n v="26500"/>
    <n v="28620.000000000004"/>
  </r>
  <r>
    <s v="Inativo"/>
    <s v="Daari Marbrand"/>
    <s v="000.000.014-00"/>
    <n v="46"/>
    <s v="15/09/1979"/>
    <s v="Cole Foss"/>
    <s v="Norte"/>
    <n v="15000"/>
    <n v="17500"/>
    <x v="2"/>
    <m/>
    <x v="1"/>
    <s v="Passa"/>
    <s v="Passa"/>
    <m/>
    <n v="0"/>
  </r>
  <r>
    <s v="Ativo"/>
    <s v="Daari Tarly"/>
    <s v="000.000.046-00"/>
    <n v="32"/>
    <s v="23/06/1994"/>
    <s v="Dorne"/>
    <s v="Dorne"/>
    <n v="9800"/>
    <n v="36500"/>
    <x v="0"/>
    <n v="13"/>
    <x v="2"/>
    <s v="Passa"/>
    <s v="Passa"/>
    <n v="5000"/>
    <n v="5400"/>
  </r>
  <r>
    <s v="Ativo"/>
    <s v="Daari Tarth"/>
    <s v="000.000.255-00"/>
    <n v="70"/>
    <s v="14/08/1956 "/>
    <s v="Braavos"/>
    <s v="Essos"/>
    <n v="1580000"/>
    <m/>
    <x v="2"/>
    <m/>
    <x v="1"/>
    <s v="Passa"/>
    <s v="Passa"/>
    <m/>
    <n v="0"/>
  </r>
  <r>
    <s v="Ativo"/>
    <s v="Daari Tyrell"/>
    <s v="000.000.251-00"/>
    <n v="51"/>
    <s v="14/12/1974"/>
    <s v="Pyke"/>
    <s v="Ilhas De Ferro"/>
    <n v="16300"/>
    <n v="15500"/>
    <x v="2"/>
    <n v="2"/>
    <x v="1"/>
    <s v="Passa"/>
    <s v="Passa"/>
    <n v="2500"/>
    <n v="2700"/>
  </r>
  <r>
    <s v="Ativo"/>
    <s v="Daari Yrnwd"/>
    <s v="000.000.183-00"/>
    <n v="72"/>
    <s v="18/03/1954"/>
    <s v=" Porto Real"/>
    <s v="Terras da Coroa"/>
    <n v="10200"/>
    <n v="36000"/>
    <x v="0"/>
    <n v="3"/>
    <x v="1"/>
    <s v="Passa"/>
    <s v="Passa"/>
    <n v="71500"/>
    <n v="77220"/>
  </r>
  <r>
    <s v="Ativo"/>
    <s v="Daenerys Seawrth"/>
    <s v="000.000.341-00"/>
    <n v="54"/>
    <s v="10/07/1971"/>
    <s v="Vilavelha"/>
    <s v="Campina"/>
    <n v="29700"/>
    <m/>
    <x v="2"/>
    <m/>
    <x v="1"/>
    <s v="Passa"/>
    <s v="Passa"/>
    <m/>
    <n v="0"/>
  </r>
  <r>
    <s v="Ativo"/>
    <s v="Daenerys Snw"/>
    <s v="000.000.142-00"/>
    <n v="48"/>
    <s v="07/10/1978"/>
    <s v="Dorne"/>
    <s v="Dorne"/>
    <n v="15800"/>
    <n v="16500"/>
    <x v="0"/>
    <n v="25"/>
    <x v="2"/>
    <s v="Passa"/>
    <s v="Passa"/>
    <n v="65500"/>
    <n v="70740"/>
  </r>
  <r>
    <s v="Ativo"/>
    <s v="Daenerys Tallhart"/>
    <s v="000.000.092-00"/>
    <n v="37"/>
    <s v="04/02/1989"/>
    <s v="Vilavelha"/>
    <s v="Campina"/>
    <n v="29200"/>
    <m/>
    <x v="2"/>
    <m/>
    <x v="1"/>
    <s v="Passa"/>
    <s v="Passa"/>
    <m/>
    <n v="0"/>
  </r>
  <r>
    <s v="Ativo"/>
    <s v="Davs  Barathen"/>
    <s v="000.000.055-00"/>
    <m/>
    <s v="26/06/1999"/>
    <s v="Winterfell"/>
    <s v="Norte"/>
    <n v="22500"/>
    <m/>
    <x v="0"/>
    <n v="20"/>
    <x v="2"/>
    <s v="Passa"/>
    <s v="Passa"/>
    <n v="19500"/>
    <n v="21060"/>
  </r>
  <r>
    <s v="Ativo"/>
    <s v="Davs Ryce"/>
    <s v="000.000.000-33"/>
    <n v="31"/>
    <s v="N/A"/>
    <s v="Pyke"/>
    <s v="Ilhas De Ferro"/>
    <n v="20800"/>
    <n v="1000"/>
    <x v="0"/>
    <n v="27"/>
    <x v="0"/>
    <s v="Passa"/>
    <s v="Passa"/>
    <n v="50000"/>
    <n v="54000"/>
  </r>
  <r>
    <s v="Inativo"/>
    <s v="Davs Tyrell"/>
    <s v="000.000.079-00"/>
    <n v="65"/>
    <s v="25/12/1960"/>
    <s v="Ninho da Águia"/>
    <s v="Vale"/>
    <n v="3300"/>
    <n v="53500"/>
    <x v="2"/>
    <m/>
    <x v="1"/>
    <s v="Passa"/>
    <s v="Passa"/>
    <m/>
    <n v="0"/>
  </r>
  <r>
    <s v="Ativo"/>
    <s v="Davs Tyrell"/>
    <s v="000.000.161-00"/>
    <n v="57"/>
    <s v="N/A"/>
    <s v="Lannisport"/>
    <s v="Westeros"/>
    <m/>
    <m/>
    <x v="0"/>
    <m/>
    <x v="1"/>
    <s v="Passa"/>
    <s v="Passa"/>
    <n v="28500"/>
    <n v="30780.000000000004"/>
  </r>
  <r>
    <s v="Inativo"/>
    <s v="Davs Umber"/>
    <s v="000.000.353-00"/>
    <n v="74"/>
    <s v="23/02/1952"/>
    <s v="Lannisport"/>
    <s v="Westeros"/>
    <n v="24000"/>
    <m/>
    <x v="1"/>
    <n v="32"/>
    <x v="0"/>
    <s v="Negada"/>
    <s v="Passa"/>
    <n v="56500"/>
    <n v="0"/>
  </r>
  <r>
    <s v="Inativo"/>
    <s v="Eddard Crakehall"/>
    <s v="000.000.318-00"/>
    <n v="43"/>
    <s v="16/03/1983"/>
    <s v="Castelo Negro"/>
    <s v="Norte"/>
    <n v="7100"/>
    <n v="42500"/>
    <x v="1"/>
    <n v="26"/>
    <x v="0"/>
    <s v="Negada"/>
    <s v="Passa"/>
    <n v="12500"/>
    <n v="0"/>
  </r>
  <r>
    <s v="Inativo"/>
    <s v="Eddard Dayne"/>
    <s v="000.000.032-00"/>
    <n v="31"/>
    <s v="16/02/1995"/>
    <s v="Braavos"/>
    <s v="Essos"/>
    <n v="18200"/>
    <n v="67500"/>
    <x v="0"/>
    <n v="12"/>
    <x v="2"/>
    <s v="Passa"/>
    <s v="Passa"/>
    <n v="97500"/>
    <n v="0"/>
  </r>
  <r>
    <s v="Inativo"/>
    <s v="Eddard Greyjy"/>
    <s v="000.000.238-00"/>
    <n v="55"/>
    <s v="10/07/1970"/>
    <s v="Meereen"/>
    <s v="Essos"/>
    <m/>
    <m/>
    <x v="2"/>
    <m/>
    <x v="1"/>
    <s v="Passa"/>
    <s v="Passa"/>
    <m/>
    <n v="0"/>
  </r>
  <r>
    <s v="Ativo"/>
    <s v="Eddard Mallister"/>
    <s v="000.000.309-00"/>
    <n v="47"/>
    <s v="08/11/1978"/>
    <s v="Atalaia da Água Cinzenta"/>
    <s v="Gargalo"/>
    <n v="22700"/>
    <m/>
    <x v="0"/>
    <n v="41"/>
    <x v="0"/>
    <s v="Passa"/>
    <s v="Passa"/>
    <n v="54500"/>
    <n v="58860.000000000007"/>
  </r>
  <r>
    <s v="Ativo"/>
    <s v="Eddard Payne"/>
    <s v="000.000.159-00"/>
    <n v="26"/>
    <s v="09/08/1999"/>
    <s v="Correrrio"/>
    <s v="Terras Fluviais"/>
    <n v="9200"/>
    <n v="39500"/>
    <x v="0"/>
    <n v="18"/>
    <x v="2"/>
    <s v="Passa"/>
    <s v="Passa"/>
    <n v="32000"/>
    <n v="34560"/>
  </r>
  <r>
    <s v="Ativo"/>
    <s v="Eddard Ryce"/>
    <s v="000.000.181-00"/>
    <n v="73"/>
    <s v="16/11/1952"/>
    <s v="Pedra do Dragão"/>
    <s v="Terras da Coroa"/>
    <n v="6100"/>
    <n v="47500"/>
    <x v="2"/>
    <m/>
    <x v="1"/>
    <s v="Passa"/>
    <s v="Passa"/>
    <m/>
    <n v="0"/>
  </r>
  <r>
    <s v="Inativo"/>
    <s v="Eddard Stark"/>
    <s v="000.000.015-00"/>
    <n v="55"/>
    <s v="28/07/1971"/>
    <s v="Ninho da Águia"/>
    <s v="Vale"/>
    <n v="29700"/>
    <m/>
    <x v="2"/>
    <m/>
    <x v="1"/>
    <s v="Passa"/>
    <s v="Passa"/>
    <m/>
    <n v="0"/>
  </r>
  <r>
    <s v="Inativo"/>
    <s v="Eddard Westerling"/>
    <s v="000.000.094-00"/>
    <n v="52"/>
    <s v="06/06/1974"/>
    <s v="Ponta Tempestade"/>
    <s v="Terras Da Tempestade"/>
    <n v="6400"/>
    <n v="45000"/>
    <x v="2"/>
    <m/>
    <x v="1"/>
    <s v="Passa"/>
    <s v="Passa"/>
    <m/>
    <n v="0"/>
  </r>
  <r>
    <s v="Inativo"/>
    <s v="Ellaria  Reed"/>
    <s v="000.000.311-00"/>
    <n v="70"/>
    <s v="17/02/1956"/>
    <s v="Lannisport"/>
    <s v="Westeros"/>
    <n v="2500"/>
    <n v="79500"/>
    <x v="2"/>
    <m/>
    <x v="1"/>
    <s v="Passa"/>
    <s v="Passa"/>
    <m/>
    <n v="0"/>
  </r>
  <r>
    <s v="N/A"/>
    <s v="Ellaria Baelish"/>
    <s v="000.000.336-00"/>
    <n v="32"/>
    <s v="13/01/1994"/>
    <s v="Ninho da Águia"/>
    <s v="Vale"/>
    <n v="15600"/>
    <n v="16500"/>
    <x v="1"/>
    <n v="24"/>
    <x v="2"/>
    <s v="Passa"/>
    <s v="Passa"/>
    <n v="57000"/>
    <n v="0"/>
  </r>
  <r>
    <s v="Inativo"/>
    <s v="Ellaria Bracken"/>
    <s v="000.000.138-00"/>
    <n v="59"/>
    <s v="09/02/1967"/>
    <s v="Monte Chifre"/>
    <s v="Campina"/>
    <n v="6300"/>
    <n v="46000"/>
    <x v="1"/>
    <n v="4"/>
    <x v="1"/>
    <s v="Passa"/>
    <s v="Passa"/>
    <n v="27500"/>
    <n v="0"/>
  </r>
  <r>
    <s v="Ativo"/>
    <s v="Ellaria Cerwyn"/>
    <s v="000.000.019-00"/>
    <n v="51"/>
    <s v="15/12/1974"/>
    <s v="Dorne"/>
    <s v="Dorne"/>
    <n v="11600"/>
    <n v="73500"/>
    <x v="0"/>
    <n v="33"/>
    <x v="0"/>
    <s v="Passa"/>
    <s v="Passa"/>
    <n v="95000"/>
    <n v="102600"/>
  </r>
  <r>
    <s v="Inativo"/>
    <s v="Ellaria Mallister"/>
    <s v="000.000.194-00"/>
    <n v="38"/>
    <s v="21/11/1987"/>
    <s v="Pyke"/>
    <s v="Ilhas De Ferro"/>
    <n v="13500"/>
    <n v="23500"/>
    <x v="1"/>
    <n v="31"/>
    <x v="0"/>
    <s v="Negada"/>
    <s v="Passa"/>
    <n v="91000"/>
    <n v="0"/>
  </r>
  <r>
    <s v="Ativo"/>
    <s v="Ellaria Martell"/>
    <s v="000.000.148-00"/>
    <n v="48"/>
    <s v="02/07/1978"/>
    <s v="Atalaia da Água Cinzenta"/>
    <s v="Gargalo"/>
    <n v="2300"/>
    <n v="80000"/>
    <x v="0"/>
    <n v="9"/>
    <x v="1"/>
    <s v="Passa"/>
    <s v="Passa"/>
    <n v="58500"/>
    <n v="63180.000000000007"/>
  </r>
  <r>
    <s v="Ativo"/>
    <s v="Ellaria Mrmnt"/>
    <s v="000.000.157-00"/>
    <n v="22"/>
    <s v="10/10/2003"/>
    <s v="Ponta Tempestade"/>
    <s v="Terras Da Tempestade"/>
    <n v="2300"/>
    <n v="55000"/>
    <x v="0"/>
    <n v="26"/>
    <x v="0"/>
    <s v="Passa"/>
    <s v="Passa"/>
    <n v="54000"/>
    <n v="58320.000000000007"/>
  </r>
  <r>
    <s v="Ativo"/>
    <s v="Ellaria Redwyne"/>
    <s v="000.000.093-00"/>
    <n v="56"/>
    <s v="14/12/1969"/>
    <s v="Dorne"/>
    <s v="Dorne"/>
    <n v="22600"/>
    <n v="63000"/>
    <x v="0"/>
    <n v="33"/>
    <x v="0"/>
    <s v="Passa"/>
    <s v="Passa"/>
    <n v="53000"/>
    <n v="57240.000000000007"/>
  </r>
  <r>
    <s v="Ativo"/>
    <s v="Ellaria Seawrth"/>
    <s v="000.000.125-00"/>
    <n v="23"/>
    <s v="06/01/2003"/>
    <s v="Correrrio"/>
    <s v="Terras Fluviais"/>
    <m/>
    <m/>
    <x v="2"/>
    <m/>
    <x v="1"/>
    <s v="Passa"/>
    <s v="Passa"/>
    <m/>
    <n v="0"/>
  </r>
  <r>
    <s v="Ativo"/>
    <s v="Ellaria Swyft"/>
    <s v="000.000.115-00"/>
    <n v="72"/>
    <s v="25/04/1954"/>
    <s v="Ninho da Águia"/>
    <s v="Vale"/>
    <n v="3900"/>
    <n v="78500"/>
    <x v="0"/>
    <n v="2"/>
    <x v="1"/>
    <s v="Passa"/>
    <s v="Passa"/>
    <n v="53000"/>
    <n v="57240.000000000007"/>
  </r>
  <r>
    <s v="Ativo"/>
    <s v="Ellaria Targaryen"/>
    <s v="000.000.149-00"/>
    <n v="54"/>
    <s v="24/10/1971"/>
    <s v="Cole Foss"/>
    <s v="Norte"/>
    <n v="18700"/>
    <n v="6500"/>
    <x v="3"/>
    <n v="0"/>
    <x v="1"/>
    <s v="Passa"/>
    <s v="Passa"/>
    <n v="42500"/>
    <n v="45900"/>
  </r>
  <r>
    <s v="Inativo"/>
    <s v="Ellaria Tarly"/>
    <s v="000.000.026-00"/>
    <n v="67"/>
    <s v="23/11/1958"/>
    <s v="Braavos"/>
    <s v="Essos"/>
    <n v="3200"/>
    <n v="78500"/>
    <x v="0"/>
    <n v="34"/>
    <x v="0"/>
    <s v="Passa"/>
    <s v="Passa"/>
    <n v="84000"/>
    <n v="0"/>
  </r>
  <r>
    <s v="Ativo"/>
    <s v="Ellaria Yrnwd"/>
    <s v="000.000.176-00"/>
    <n v="73"/>
    <s v="01/05/1953"/>
    <s v="Monte Chifre"/>
    <s v="Campina"/>
    <n v="165000"/>
    <n v="57000"/>
    <x v="2"/>
    <m/>
    <x v="1"/>
    <s v="Passa"/>
    <s v="Passa"/>
    <m/>
    <n v="0"/>
  </r>
  <r>
    <s v="Ativo"/>
    <s v="Gendry Cerwyn"/>
    <s v="000.000.153-00"/>
    <n v="24"/>
    <s v="18/05/2002"/>
    <s v="Lannisport"/>
    <s v="Westeros"/>
    <n v="14200"/>
    <n v="21500"/>
    <x v="2"/>
    <m/>
    <x v="1"/>
    <s v="Passa"/>
    <s v="Passa"/>
    <m/>
    <n v="0"/>
  </r>
  <r>
    <s v="Ativo"/>
    <s v="Gendry Hightwer"/>
    <s v="000.000.167-00"/>
    <n v="26"/>
    <s v="11/11/1999"/>
    <s v="Harrenhal"/>
    <s v="Terras Fluviais"/>
    <n v="13900"/>
    <n v="22000"/>
    <x v="0"/>
    <n v="38"/>
    <x v="0"/>
    <s v="Passa"/>
    <s v="Passa"/>
    <n v="81000"/>
    <n v="87480"/>
  </r>
  <r>
    <s v="Inativo"/>
    <s v="Gilly Frey"/>
    <s v="000.000.258-00"/>
    <n v="33"/>
    <s v="07/04/1993"/>
    <s v="Castelo Negro"/>
    <s v="Norte"/>
    <n v="2400"/>
    <n v="55000"/>
    <x v="0"/>
    <n v="38"/>
    <x v="0"/>
    <s v="Passa"/>
    <s v="Passa"/>
    <n v="68500"/>
    <n v="0"/>
  </r>
  <r>
    <s v="Ativo"/>
    <s v="Gilly Glver"/>
    <s v="000.000.022-00"/>
    <n v="58"/>
    <s v="03/01/1968"/>
    <s v="Atalaia da Água Cinzenta"/>
    <s v="Gargalo"/>
    <n v="2800"/>
    <n v="79500"/>
    <x v="1"/>
    <n v="29"/>
    <x v="0"/>
    <s v="Negada"/>
    <s v="Negada"/>
    <n v="64000"/>
    <n v="0"/>
  </r>
  <r>
    <s v="Ativo"/>
    <s v="Gilly Marbrand"/>
    <s v="000.000.156-00"/>
    <n v="44"/>
    <s v="14/09/1981"/>
    <s v="Pedra do Dragão"/>
    <s v="Terras da Coroa"/>
    <n v="11300"/>
    <n v="31000"/>
    <x v="0"/>
    <n v="19"/>
    <x v="2"/>
    <s v="Passa"/>
    <s v="Passa"/>
    <n v="63500"/>
    <n v="68580"/>
  </r>
  <r>
    <s v="Ativo"/>
    <s v="Gilly Mrmnt"/>
    <s v="000.000.220-00"/>
    <n v="65"/>
    <s v="26/03/1961"/>
    <s v="Jardim de Cima"/>
    <s v="Campina"/>
    <n v="18000"/>
    <n v="67500"/>
    <x v="0"/>
    <n v="25"/>
    <x v="2"/>
    <s v="Passa"/>
    <s v="Passa"/>
    <n v="18000"/>
    <n v="19440"/>
  </r>
  <r>
    <s v="N/A"/>
    <s v="Gilly Swyft"/>
    <s v="000.000.261-00"/>
    <m/>
    <s v="11/11/1990"/>
    <s v="Braavos"/>
    <s v="Essos"/>
    <n v="29900"/>
    <m/>
    <x v="2"/>
    <m/>
    <x v="1"/>
    <s v="Passa"/>
    <s v="Passa"/>
    <m/>
    <n v="0"/>
  </r>
  <r>
    <s v="Ativo"/>
    <s v="Grey  Wrm  Greyjy"/>
    <s v="000.000.182-00"/>
    <n v="58"/>
    <s v="16/08/1968"/>
    <s v="Jardim de Cima"/>
    <s v="Campina"/>
    <n v="4500"/>
    <n v="78000"/>
    <x v="0"/>
    <n v="37"/>
    <x v="0"/>
    <s v="Passa"/>
    <s v="Passa"/>
    <n v="99000"/>
    <n v="106920"/>
  </r>
  <r>
    <s v="Inativo"/>
    <s v="Grey Wrm Barathen"/>
    <s v="000.000.221-00"/>
    <n v="29"/>
    <s v="17/06/1997"/>
    <s v="Dorne"/>
    <s v="Dorne"/>
    <n v="15500"/>
    <n v="17000"/>
    <x v="0"/>
    <n v="3"/>
    <x v="1"/>
    <s v="Passa"/>
    <s v="Passa"/>
    <n v="4500"/>
    <n v="0"/>
  </r>
  <r>
    <s v="Ativo"/>
    <s v="Grey Wrm Dndarrin"/>
    <s v="000.000.233-00"/>
    <n v="38"/>
    <s v="16/10/1987"/>
    <s v="Meereen"/>
    <s v="Essos"/>
    <n v="9700"/>
    <n v="37000"/>
    <x v="0"/>
    <n v="21"/>
    <x v="2"/>
    <s v="Passa"/>
    <s v="Passa"/>
    <n v="97500"/>
    <n v="105300"/>
  </r>
  <r>
    <s v="Inativo"/>
    <s v="Grey Wrm Hrnwd"/>
    <s v="000.000.322-00"/>
    <n v="26"/>
    <s v="15/01/2000"/>
    <s v="Pedra do Dragão"/>
    <s v="Terras da Coroa"/>
    <n v="24000"/>
    <m/>
    <x v="1"/>
    <n v="13"/>
    <x v="2"/>
    <s v="Passa"/>
    <s v="Passa"/>
    <n v="79000"/>
    <n v="0"/>
  </r>
  <r>
    <s v="Ativo"/>
    <s v="Grey Wrm Targaryen"/>
    <s v="000.000.060-00"/>
    <n v="48"/>
    <s v="18/07/1978"/>
    <s v="Ponta Tempestade"/>
    <s v="Terras Da Tempestade"/>
    <n v="18700"/>
    <n v="66000"/>
    <x v="2"/>
    <m/>
    <x v="1"/>
    <s v="Passa"/>
    <s v="Passa"/>
    <m/>
    <n v="0"/>
  </r>
  <r>
    <s v="Inativo"/>
    <s v="Grey Wrm Targaryen"/>
    <s v="000.000.084-00"/>
    <n v="38"/>
    <s v="07/2.7/1988"/>
    <s v="Pedra do Dragão"/>
    <s v="Terras da Coroa"/>
    <n v="23600"/>
    <m/>
    <x v="1"/>
    <n v="3"/>
    <x v="1"/>
    <s v="Passa"/>
    <s v="Passa"/>
    <n v="60000"/>
    <n v="0"/>
  </r>
  <r>
    <s v="Inativo"/>
    <s v="Jaime Bracken"/>
    <s v="000.000.166-00"/>
    <n v="35"/>
    <s v="28/06/1991"/>
    <s v="Jardim de Cima"/>
    <s v="Campina"/>
    <n v="1240000"/>
    <m/>
    <x v="2"/>
    <m/>
    <x v="1"/>
    <s v="Passa"/>
    <s v="Passa"/>
    <m/>
    <n v="0"/>
  </r>
  <r>
    <s v="Ativo"/>
    <s v="Jaime Dndarrin"/>
    <s v="000.000.056-00"/>
    <n v="35"/>
    <s v="04/08/1991"/>
    <s v="Ninho da Águia"/>
    <s v="Vale"/>
    <n v="20900"/>
    <n v="1000"/>
    <x v="0"/>
    <n v="16"/>
    <x v="2"/>
    <s v="Passa"/>
    <s v="Passa"/>
    <n v="10500"/>
    <n v="11340"/>
  </r>
  <r>
    <s v="Inativo"/>
    <s v="Jaime Seawrth"/>
    <s v="000.000.371-00"/>
    <n v="68"/>
    <s v="01/05/1958"/>
    <s v="Castelo Negro"/>
    <s v="Norte"/>
    <n v="2800"/>
    <n v="54500"/>
    <x v="1"/>
    <n v="26"/>
    <x v="0"/>
    <s v="Negada"/>
    <s v="Negada"/>
    <n v="75000"/>
    <n v="0"/>
  </r>
  <r>
    <s v="Inativo"/>
    <s v="Jaime Seawrth"/>
    <s v="000.000.263-00"/>
    <n v="33"/>
    <s v="20/01/1993"/>
    <s v="Porto Real"/>
    <s v="Terras da Coroa"/>
    <n v="23400"/>
    <m/>
    <x v="1"/>
    <n v="1"/>
    <x v="1"/>
    <s v="Passa"/>
    <s v="Passa"/>
    <n v="12000"/>
    <n v="0"/>
  </r>
  <r>
    <s v="Ativo"/>
    <s v="Jer  Payne"/>
    <s v="000.000.209-00"/>
    <n v="33"/>
    <s v="21/02/1993"/>
    <s v="Ponta Tempestade"/>
    <s v="Terras Da Tempestade"/>
    <m/>
    <m/>
    <x v="2"/>
    <m/>
    <x v="1"/>
    <s v="Passa"/>
    <s v="Passa"/>
    <m/>
    <n v="0"/>
  </r>
  <r>
    <s v="Inativo"/>
    <s v="Jer Baelish"/>
    <s v="000.000.332-00"/>
    <n v="66"/>
    <s v="05/03/1960"/>
    <s v="Dorne"/>
    <s v="Dorne"/>
    <n v="14300"/>
    <n v="20500"/>
    <x v="1"/>
    <n v="8"/>
    <x v="1"/>
    <s v="Passa"/>
    <s v="Passa"/>
    <n v="44000"/>
    <n v="0"/>
  </r>
  <r>
    <s v="Inativo"/>
    <s v="Jer Clegane"/>
    <s v="000.000.273-00"/>
    <n v="66"/>
    <s v="19/11/1959"/>
    <s v="Cole Foss"/>
    <s v="Norte"/>
    <n v="9900"/>
    <n v="74500"/>
    <x v="1"/>
    <n v="20"/>
    <x v="2"/>
    <s v="Passa"/>
    <s v="Negada"/>
    <n v="45500"/>
    <n v="0"/>
  </r>
  <r>
    <s v="Ativo"/>
    <s v="Jer Flrent"/>
    <s v="000.000.249-00"/>
    <n v="27"/>
    <s v="08/06/1999"/>
    <s v="Ponta Tempestade"/>
    <s v="Terras Da Tempestade"/>
    <n v="28800"/>
    <m/>
    <x v="2"/>
    <m/>
    <x v="1"/>
    <s v="Passa"/>
    <s v="Passa"/>
    <m/>
    <n v="0"/>
  </r>
  <r>
    <s v="Ativo"/>
    <s v="Jer Karstark"/>
    <s v="000.000.310-00"/>
    <n v="25"/>
    <s v="03/09/2001"/>
    <s v="Ninho da Águia"/>
    <s v="Vale"/>
    <m/>
    <m/>
    <x v="2"/>
    <m/>
    <x v="1"/>
    <s v="Passa"/>
    <s v="Passa"/>
    <m/>
    <n v="0"/>
  </r>
  <r>
    <s v="Ativo"/>
    <s v="Jer Lannister"/>
    <s v="000.000.091-00"/>
    <n v="37"/>
    <s v="26/09/1988"/>
    <s v="Cole Foss"/>
    <s v="Norte"/>
    <n v="24700"/>
    <m/>
    <x v="2"/>
    <n v="0"/>
    <x v="1"/>
    <s v="Passa"/>
    <s v="Passa"/>
    <n v="81000"/>
    <n v="87480"/>
  </r>
  <r>
    <s v="Inativo"/>
    <s v="Jer Mallister"/>
    <s v="000.000.162-00"/>
    <n v="47"/>
    <s v="28/07/1979"/>
    <s v="Correrrio"/>
    <s v="Terras Fluviais"/>
    <n v="13300"/>
    <n v="23500"/>
    <x v="0"/>
    <n v="10"/>
    <x v="1"/>
    <s v="Passa"/>
    <s v="Passa"/>
    <n v="21500"/>
    <n v="0"/>
  </r>
  <r>
    <s v="Inativo"/>
    <s v="Jer Marbrand"/>
    <s v="000.000.073-00"/>
    <n v="63"/>
    <s v="10/05/1962"/>
    <s v="Braavos"/>
    <s v="Essos"/>
    <n v="29000"/>
    <m/>
    <x v="2"/>
    <m/>
    <x v="1"/>
    <s v="Passa"/>
    <s v="Passa"/>
    <m/>
    <n v="0"/>
  </r>
  <r>
    <s v="Inativo"/>
    <s v="Jer Martell"/>
    <s v="000.000.061-00"/>
    <n v="58"/>
    <s v="09/11/1967"/>
    <s v="Meereen"/>
    <s v="Essos"/>
    <n v="20100"/>
    <n v="4000"/>
    <x v="0"/>
    <n v="4"/>
    <x v="1"/>
    <s v="Passa"/>
    <s v="Passa"/>
    <n v="8500"/>
    <n v="0"/>
  </r>
  <r>
    <s v="Ativo"/>
    <s v="Jjen Dayne"/>
    <s v="000.000.199-00"/>
    <n v="69"/>
    <s v="N/A"/>
    <s v="Solar do Entardecer"/>
    <s v="Terras Da Tempestade"/>
    <n v="11400"/>
    <n v="30500"/>
    <x v="0"/>
    <n v="28"/>
    <x v="0"/>
    <s v="Passa"/>
    <s v="Passa"/>
    <n v="48000"/>
    <n v="51840"/>
  </r>
  <r>
    <s v="Ativo"/>
    <s v="Jjen Flrent"/>
    <s v="000.000.343-00"/>
    <n v="48"/>
    <s v="10/10/1977"/>
    <s v="Winterfell"/>
    <s v="Norte"/>
    <n v="13300"/>
    <n v="71000"/>
    <x v="0"/>
    <n v="28"/>
    <x v="0"/>
    <s v="Passa"/>
    <s v="Passa"/>
    <n v="36500"/>
    <n v="39420"/>
  </r>
  <r>
    <s v="Ativo"/>
    <s v="Jjen Flrent"/>
    <s v="000.000.321-00"/>
    <n v="32"/>
    <s v="26/11/1993"/>
    <s v="Ninho da Águia"/>
    <s v="Vale"/>
    <n v="30000"/>
    <n v="58000"/>
    <x v="2"/>
    <n v="23"/>
    <x v="2"/>
    <s v="Passa"/>
    <s v="Passa"/>
    <n v="81500"/>
    <n v="88020"/>
  </r>
  <r>
    <s v="Ativo"/>
    <s v="Jjen Hrnwd"/>
    <s v="000.000.128-00"/>
    <m/>
    <s v="15/10/1989"/>
    <s v="Pedra do Dragão"/>
    <s v="Terras da Coroa"/>
    <n v="28600"/>
    <m/>
    <x v="2"/>
    <m/>
    <x v="1"/>
    <s v="Passa"/>
    <s v="Passa"/>
    <m/>
    <n v="0"/>
  </r>
  <r>
    <s v="Ativo"/>
    <s v="Jjen Redwyne"/>
    <s v="000.000.334-00"/>
    <n v="24"/>
    <s v="23/08/2002"/>
    <s v="Dorne"/>
    <s v="Dorne"/>
    <n v="8900"/>
    <n v="75500"/>
    <x v="1"/>
    <n v="2"/>
    <x v="1"/>
    <s v="Passa"/>
    <s v="Negada"/>
    <n v="89500"/>
    <n v="0"/>
  </r>
  <r>
    <s v="Ativo"/>
    <s v="Jjen Reed"/>
    <s v="000.000.136-00"/>
    <n v="41"/>
    <s v="19/09/1984"/>
    <s v="Ponta Tempestade"/>
    <s v="Terras Da Tempestade"/>
    <n v="20000"/>
    <n v="4000"/>
    <x v="2"/>
    <m/>
    <x v="1"/>
    <s v="Passa"/>
    <s v="Passa"/>
    <m/>
    <n v="0"/>
  </r>
  <r>
    <s v="Ativo"/>
    <s v="Jn  Karstark"/>
    <s v="000.000.139-00"/>
    <n v="55"/>
    <s v="16/08/1971"/>
    <s v="Jardim de Cima"/>
    <s v="Campina"/>
    <n v="12200"/>
    <n v="26000"/>
    <x v="2"/>
    <m/>
    <x v="1"/>
    <s v="Passa"/>
    <s v="Passa"/>
    <m/>
    <n v="0"/>
  </r>
  <r>
    <s v="Ativo"/>
    <s v="Jn Baelish"/>
    <s v="000.000.214-00"/>
    <n v="67"/>
    <s v="19/05/1959"/>
    <s v="Meereen"/>
    <s v="Essos"/>
    <n v="10700"/>
    <n v="35000"/>
    <x v="2"/>
    <n v="25"/>
    <x v="2"/>
    <s v="Passa"/>
    <s v="Passa"/>
    <n v="59500"/>
    <n v="64260.000000000007"/>
  </r>
  <r>
    <s v="Ativo"/>
    <s v="Jn Bltn"/>
    <s v="000.000.130-00"/>
    <n v="65"/>
    <s v="16/01/1961"/>
    <s v="Lannisport"/>
    <s v="Westeros"/>
    <n v="27300"/>
    <n v="60000"/>
    <x v="0"/>
    <n v="18"/>
    <x v="2"/>
    <s v="Passa"/>
    <s v="Passa"/>
    <n v="54000"/>
    <n v="58320.000000000007"/>
  </r>
  <r>
    <s v="Ativo"/>
    <s v="Jn Cerwyn"/>
    <s v="000.000.112-00"/>
    <n v="65"/>
    <s v="02/02/1961"/>
    <s v="Ponta Tempestade"/>
    <s v="Terras Da Tempestade"/>
    <n v="6100"/>
    <n v="47500"/>
    <x v="0"/>
    <n v="45"/>
    <x v="0"/>
    <s v="Passa"/>
    <s v="Passa"/>
    <n v="60500"/>
    <n v="65340.000000000007"/>
  </r>
  <r>
    <s v="Ativo"/>
    <s v="Jn Dayne"/>
    <s v="000.000.319-00"/>
    <n v="20"/>
    <s v="22/11/2005"/>
    <s v="Braavos"/>
    <s v="Essos"/>
    <n v="9300"/>
    <n v="75500"/>
    <x v="1"/>
    <n v="25"/>
    <x v="2"/>
    <s v="Passa"/>
    <s v="Negada"/>
    <m/>
    <n v="0"/>
  </r>
  <r>
    <s v="Ativo"/>
    <s v="Jn Hightwer"/>
    <s v="000.000.081-00"/>
    <n v="59"/>
    <s v="12/09/1966"/>
    <s v="Winterfell"/>
    <s v="Norte"/>
    <n v="18900"/>
    <n v="6000"/>
    <x v="1"/>
    <n v="1"/>
    <x v="1"/>
    <s v="Passa"/>
    <s v="Passa"/>
    <n v="4500"/>
    <n v="4860"/>
  </r>
  <r>
    <s v="Ativo"/>
    <s v="Jn Hrnwd"/>
    <s v="000.000.331-00"/>
    <m/>
    <s v="21/08/2000"/>
    <s v="Dorne"/>
    <s v="Dorne"/>
    <n v="23200"/>
    <m/>
    <x v="1"/>
    <n v="34"/>
    <x v="0"/>
    <s v="Negada"/>
    <s v="Passa"/>
    <n v="16000"/>
    <n v="0"/>
  </r>
  <r>
    <s v="Ativo"/>
    <s v="Jn Marbrand"/>
    <s v="000.000.359-00"/>
    <n v="29"/>
    <s v="19/06/1997"/>
    <s v="Porto Real"/>
    <s v="Terras da Coroa"/>
    <n v="10000"/>
    <n v="36500"/>
    <x v="0"/>
    <n v="33"/>
    <x v="0"/>
    <s v="Passa"/>
    <s v="Passa"/>
    <n v="60000"/>
    <n v="64800.000000000007"/>
  </r>
  <r>
    <s v="Ativo"/>
    <s v="Jn Tarth"/>
    <s v="000.000.208-00"/>
    <n v="52"/>
    <s v="28/02/1974"/>
    <s v="Ponta Tempestade"/>
    <s v="Terras Da Tempestade"/>
    <n v="24900"/>
    <m/>
    <x v="0"/>
    <n v="22"/>
    <x v="2"/>
    <s v="Passa"/>
    <s v="Passa"/>
    <n v="51500"/>
    <n v="55620.000000000007"/>
  </r>
  <r>
    <s v="Ativo"/>
    <s v="Jn Tarth"/>
    <s v="000.000.004-00"/>
    <n v="26"/>
    <s v="25/05/2000"/>
    <s v="Ponta Tempestade"/>
    <s v="Terras Da Tempestade"/>
    <n v="25000"/>
    <m/>
    <x v="0"/>
    <n v="15"/>
    <x v="2"/>
    <s v="Passa"/>
    <s v="Passa"/>
    <n v="67000"/>
    <n v="72360"/>
  </r>
  <r>
    <s v="Inativo"/>
    <s v="Jrah  Tyrell"/>
    <s v="000.000.229-00"/>
    <n v="48"/>
    <s v="04/09/1978"/>
    <s v="Porto Real"/>
    <s v="Terras da Coroa"/>
    <n v="12400"/>
    <n v="25500"/>
    <x v="0"/>
    <n v="15"/>
    <x v="2"/>
    <s v="Passa"/>
    <s v="Passa"/>
    <n v="66000"/>
    <n v="0"/>
  </r>
  <r>
    <s v="Ativo"/>
    <s v="Jrah Dndarrin"/>
    <s v="000.000.210-00"/>
    <n v="63"/>
    <s v="25/05/1963"/>
    <s v="Pyke"/>
    <s v="Ilhas De Ferro"/>
    <n v="10400"/>
    <n v="35000"/>
    <x v="0"/>
    <n v="5"/>
    <x v="1"/>
    <s v="Passa"/>
    <s v="Passa"/>
    <n v="10500"/>
    <n v="11340"/>
  </r>
  <r>
    <s v="Inativo"/>
    <s v="Jrah Dndarrin"/>
    <s v="000.000.294-00"/>
    <n v="39"/>
    <s v="10/08/1986"/>
    <s v="Lannisport"/>
    <s v="Westeros"/>
    <n v="22200"/>
    <m/>
    <x v="0"/>
    <n v="3"/>
    <x v="1"/>
    <s v="Passa"/>
    <s v="Passa"/>
    <n v="2500"/>
    <n v="0"/>
  </r>
  <r>
    <s v="Ativo"/>
    <s v="Jrah Flrent"/>
    <s v="000.000.204-00"/>
    <n v="49"/>
    <s v="22/01/1977"/>
    <s v="Porto Real"/>
    <s v="Terras da Coroa"/>
    <n v="28400"/>
    <m/>
    <x v="2"/>
    <m/>
    <x v="1"/>
    <s v="Passa"/>
    <s v="Passa"/>
    <m/>
    <n v="0"/>
  </r>
  <r>
    <s v="Ativo"/>
    <s v="Jrah Hightwer"/>
    <s v="000.000.007-00"/>
    <n v="44"/>
    <s v="28/04/1982"/>
    <s v="Correrrio"/>
    <s v="Terras Fluviais"/>
    <n v="21700"/>
    <m/>
    <x v="0"/>
    <n v="10"/>
    <x v="1"/>
    <s v="Passa"/>
    <s v="Passa"/>
    <n v="69500"/>
    <n v="75060"/>
  </r>
  <r>
    <s v="Inativo"/>
    <s v="Jrah Hightwer"/>
    <s v="000.000.346-00"/>
    <n v="62"/>
    <s v="09/05/1963"/>
    <s v="Pedra do Dragão"/>
    <s v="Terras da Coroa"/>
    <m/>
    <m/>
    <x v="2"/>
    <m/>
    <x v="1"/>
    <s v="Passa"/>
    <s v="Passa"/>
    <m/>
    <n v="0"/>
  </r>
  <r>
    <s v="Ativo"/>
    <s v="Jrah Marbrand"/>
    <s v="000.000.168-00"/>
    <n v="37"/>
    <s v="28/09/1988"/>
    <s v="Pedra do Dragão"/>
    <s v="Terras da Coroa"/>
    <n v="12800"/>
    <n v="25000"/>
    <x v="2"/>
    <m/>
    <x v="1"/>
    <s v="Passa"/>
    <s v="Passa"/>
    <m/>
    <n v="0"/>
  </r>
  <r>
    <s v="Ativo"/>
    <s v="Jrah Marbrand"/>
    <s v="000.000.339-00"/>
    <n v="53"/>
    <s v="16/09/1972"/>
    <s v="Pedra do Dragão"/>
    <s v="Terras da Coroa"/>
    <n v="15500"/>
    <n v="17000"/>
    <x v="0"/>
    <n v="20"/>
    <x v="2"/>
    <s v="Passa"/>
    <s v="Passa"/>
    <n v="29500"/>
    <n v="31860.000000000004"/>
  </r>
  <r>
    <s v="Ativo"/>
    <s v="Jrah Redwyne"/>
    <s v="000.000.165-00"/>
    <n v="37"/>
    <s v="05/01/1989"/>
    <s v="Monte Chifre"/>
    <s v="Campina"/>
    <n v="2600"/>
    <n v="79500"/>
    <x v="0"/>
    <n v="36"/>
    <x v="0"/>
    <s v="Passa"/>
    <s v="Passa"/>
    <n v="1500"/>
    <n v="1620"/>
  </r>
  <r>
    <s v="Inativo"/>
    <s v="Jrah Redwyne"/>
    <s v="000.000.040-00"/>
    <n v="48"/>
    <s v="22/06/1978"/>
    <s v="Porto Real"/>
    <s v="Terras da Coroa"/>
    <n v="24700"/>
    <m/>
    <x v="2"/>
    <n v="24"/>
    <x v="2"/>
    <s v="Passa"/>
    <s v="Passa"/>
    <n v="82000"/>
    <n v="0"/>
  </r>
  <r>
    <s v="Ativo"/>
    <s v="Jrah Seawrth"/>
    <s v="000.000.207-00"/>
    <n v="66"/>
    <s v="23/08/1960"/>
    <s v="Cole Foss"/>
    <s v="Norte"/>
    <n v="28800"/>
    <m/>
    <x v="2"/>
    <m/>
    <x v="1"/>
    <s v="Passa"/>
    <s v="Passa"/>
    <m/>
    <n v="0"/>
  </r>
  <r>
    <s v="Ativo"/>
    <s v="Len Arryn"/>
    <s v="000.000.096-00"/>
    <n v="49"/>
    <s v="24/07/1977"/>
    <s v="Braavos"/>
    <s v="Essos"/>
    <n v="11500"/>
    <n v="29500"/>
    <x v="1"/>
    <n v="13"/>
    <x v="2"/>
    <s v="Passa"/>
    <s v="Passa"/>
    <n v="5000"/>
    <n v="5400"/>
  </r>
  <r>
    <s v="Ativo"/>
    <s v="Len Baelish"/>
    <s v="000.000.191-00"/>
    <n v="48"/>
    <s v="06/06/1978"/>
    <s v="Lannisport"/>
    <s v="Westeros"/>
    <n v="13200"/>
    <n v="23500"/>
    <x v="0"/>
    <n v="43"/>
    <x v="0"/>
    <s v="Passa"/>
    <s v="Passa"/>
    <n v="57000"/>
    <n v="61560.000000000007"/>
  </r>
  <r>
    <s v="Ativo"/>
    <s v="Len Bracken"/>
    <s v="000.000.225-00"/>
    <n v="45"/>
    <s v="01/12/1981"/>
    <s v="Lannisport"/>
    <s v="Westeros"/>
    <n v="22800"/>
    <m/>
    <x v="0"/>
    <n v="25"/>
    <x v="2"/>
    <s v="Passa"/>
    <s v="Passa"/>
    <n v="65500"/>
    <n v="70740"/>
  </r>
  <r>
    <s v="Ativo"/>
    <s v="Len Hrnwd"/>
    <s v="000.000.299-00"/>
    <n v="46"/>
    <s v="N/A"/>
    <s v="Castelo Negro"/>
    <s v="Norte"/>
    <n v="21300"/>
    <m/>
    <x v="0"/>
    <n v="25"/>
    <x v="2"/>
    <s v="Passa"/>
    <s v="Passa"/>
    <n v="50000"/>
    <n v="54000"/>
  </r>
  <r>
    <s v="Ativo"/>
    <s v="Len Reed"/>
    <s v="000.000.248-00"/>
    <n v="40"/>
    <s v="27/12/1985"/>
    <s v="Braavos"/>
    <s v="Essos"/>
    <n v="17400"/>
    <n v="13500"/>
    <x v="0"/>
    <n v="33"/>
    <x v="0"/>
    <s v="Passa"/>
    <s v="Passa"/>
    <n v="14500"/>
    <n v="15660.000000000002"/>
  </r>
  <r>
    <s v="Ativo"/>
    <s v="Lras  Tarth"/>
    <s v="000.000.286-00"/>
    <n v="43"/>
    <s v="01/05/1983"/>
    <s v="Porto Real"/>
    <s v="Terras da Coroa"/>
    <n v="14600"/>
    <n v="19000"/>
    <x v="2"/>
    <m/>
    <x v="1"/>
    <s v="Passa"/>
    <s v="Passa"/>
    <m/>
    <n v="0"/>
  </r>
  <r>
    <s v="Inativo"/>
    <s v="Lras Baelish"/>
    <s v="000.000.217-00"/>
    <n v="68"/>
    <s v="20/01/1958"/>
    <s v="Jardim de Cima"/>
    <s v="Campina"/>
    <n v="8200"/>
    <n v="41000"/>
    <x v="0"/>
    <n v="9"/>
    <x v="1"/>
    <s v="Passa"/>
    <s v="Passa"/>
    <n v="32500"/>
    <n v="0"/>
  </r>
  <r>
    <s v="Ativo"/>
    <s v="Lras Bracken"/>
    <s v="000.000.254-00"/>
    <n v="51"/>
    <s v="21/04/1975"/>
    <s v="Atalaia da Água Cinzenta"/>
    <s v="Gargalo"/>
    <n v="7200"/>
    <n v="76500"/>
    <x v="0"/>
    <n v="39"/>
    <x v="0"/>
    <s v="Passa"/>
    <s v="Passa"/>
    <n v="32000"/>
    <n v="34560"/>
  </r>
  <r>
    <s v="Ativo"/>
    <s v="Lras Clegane"/>
    <s v="000.000.287-00"/>
    <n v="58"/>
    <s v="14/03/1968"/>
    <s v="Harrenhal"/>
    <s v="Terras Fluviais"/>
    <n v="25400"/>
    <n v="62000"/>
    <x v="1"/>
    <n v="45"/>
    <x v="0"/>
    <s v="Negada"/>
    <s v="Negada"/>
    <n v="35500"/>
    <n v="0"/>
  </r>
  <r>
    <s v="Inativo"/>
    <s v="Lras Frey"/>
    <s v="000.000.017-00"/>
    <n v="30"/>
    <s v="28/05/1996"/>
    <s v="Jardim de Cima"/>
    <s v="Campina"/>
    <n v="3900"/>
    <n v="51000"/>
    <x v="2"/>
    <n v="12"/>
    <x v="2"/>
    <s v="Passa"/>
    <s v="Passa"/>
    <n v="72500"/>
    <n v="0"/>
  </r>
  <r>
    <s v="Ativo"/>
    <s v="Lras Greyjy"/>
    <s v="000.000.362-00"/>
    <n v="68"/>
    <s v="21/11/1957"/>
    <s v="Cole Foss"/>
    <s v="Norte"/>
    <n v="29000"/>
    <m/>
    <x v="2"/>
    <m/>
    <x v="1"/>
    <s v="Passa"/>
    <s v="Passa"/>
    <m/>
    <n v="0"/>
  </r>
  <r>
    <s v="Ativo"/>
    <s v="Lras Lannister"/>
    <s v="000.000.302-00"/>
    <n v="49"/>
    <s v="11/03/1976"/>
    <s v="Pyke"/>
    <s v="Ilhas De Ferro"/>
    <n v="29800"/>
    <m/>
    <x v="2"/>
    <m/>
    <x v="1"/>
    <s v="Passa"/>
    <s v="Passa"/>
    <m/>
    <n v="0"/>
  </r>
  <r>
    <s v="Ativo"/>
    <s v="Lras Manderly"/>
    <s v="000.000.278-00"/>
    <n v="38"/>
    <s v="10/01/1988"/>
    <s v="Monte Chifre"/>
    <s v="Campina"/>
    <n v="2000"/>
    <n v="55000"/>
    <x v="0"/>
    <n v="26"/>
    <x v="0"/>
    <s v="Passa"/>
    <s v="Passa"/>
    <n v="100000"/>
    <n v="108000"/>
  </r>
  <r>
    <s v="Inativo"/>
    <s v="Lras Payne"/>
    <s v="000.000.027-00"/>
    <n v="30"/>
    <s v="15/05/1996"/>
    <s v="Braavos"/>
    <s v="Essos"/>
    <n v="26500"/>
    <m/>
    <x v="0"/>
    <n v="16"/>
    <x v="2"/>
    <s v="Passa"/>
    <s v="Passa"/>
    <n v="41000"/>
    <n v="0"/>
  </r>
  <r>
    <s v="Ativo"/>
    <s v="Lyan Flrent"/>
    <s v="000.000.063-00"/>
    <n v="68"/>
    <s v="N/A"/>
    <s v="Pedra do Dragão"/>
    <s v="Terras da Coroa"/>
    <n v="19900"/>
    <n v="65500"/>
    <x v="2"/>
    <m/>
    <x v="1"/>
    <s v="Passa"/>
    <s v="Passa"/>
    <m/>
    <n v="0"/>
  </r>
  <r>
    <s v="Ativo"/>
    <s v="Lyan Marbrand"/>
    <s v="000.000.283-00"/>
    <n v="27"/>
    <s v="28/05/1999"/>
    <s v="Correrrio"/>
    <s v="Terras Fluviais"/>
    <n v="5300"/>
    <n v="48500"/>
    <x v="0"/>
    <n v="29"/>
    <x v="0"/>
    <s v="Passa"/>
    <s v="Passa"/>
    <n v="94000"/>
    <n v="101520"/>
  </r>
  <r>
    <s v="Ativo"/>
    <s v="Lyan Seawrth"/>
    <s v="000.000.041-00"/>
    <n v="69"/>
    <s v="N/A"/>
    <s v="Braavos"/>
    <s v="Essos"/>
    <n v="4500"/>
    <n v="78000"/>
    <x v="2"/>
    <m/>
    <x v="1"/>
    <s v="Passa"/>
    <s v="Passa"/>
    <m/>
    <n v="0"/>
  </r>
  <r>
    <s v="Ativo"/>
    <s v="Lyan Stark"/>
    <s v="000.000.023-00"/>
    <n v="45"/>
    <s v="02/07/1981"/>
    <s v="Ponta Tempestade"/>
    <s v="Terras Da Tempestade"/>
    <n v="24400"/>
    <m/>
    <x v="0"/>
    <n v="13"/>
    <x v="2"/>
    <s v="Passa"/>
    <s v="Passa"/>
    <n v="71000"/>
    <n v="76680"/>
  </r>
  <r>
    <s v="Ativo"/>
    <s v="Lyan Swyft"/>
    <s v="000.000.180-00"/>
    <n v="29"/>
    <s v="06/10/1996"/>
    <s v="Ninho da Águia"/>
    <s v="Vale"/>
    <n v="19900"/>
    <n v="4500"/>
    <x v="1"/>
    <n v="29"/>
    <x v="0"/>
    <s v="Negada"/>
    <s v="Passa"/>
    <n v="43500"/>
    <n v="0"/>
  </r>
  <r>
    <s v="Ativo"/>
    <s v="Lyan Tarly"/>
    <s v="000.000.232-00"/>
    <n v="28"/>
    <s v="N/A"/>
    <s v="Braavos"/>
    <s v="Essos"/>
    <n v="14500"/>
    <n v="19500"/>
    <x v="0"/>
    <n v="30"/>
    <x v="0"/>
    <s v="Passa"/>
    <s v="Passa"/>
    <n v="51000"/>
    <n v="55080"/>
  </r>
  <r>
    <s v="Inativo"/>
    <s v="Lyan Tarth"/>
    <s v="000.000.345-00"/>
    <n v="73"/>
    <s v="N/A"/>
    <s v="Castelo Negro"/>
    <s v="Norte"/>
    <n v="19900"/>
    <n v="4500"/>
    <x v="0"/>
    <n v="16"/>
    <x v="2"/>
    <s v="Passa"/>
    <s v="Passa"/>
    <n v="93500"/>
    <n v="0"/>
  </r>
  <r>
    <s v="Ativo"/>
    <s v="Lyan Westerling"/>
    <s v="000.000.179-00"/>
    <n v="44"/>
    <s v="02/09/1982"/>
    <s v="Porto Real"/>
    <s v="Terras da Coroa"/>
    <n v="6700"/>
    <n v="44500"/>
    <x v="1"/>
    <n v="32"/>
    <x v="0"/>
    <s v="Negada"/>
    <s v="Passa"/>
    <n v="2000"/>
    <n v="0"/>
  </r>
  <r>
    <s v="Ativo"/>
    <s v="Margaery  Hrnwd"/>
    <s v="000.000.151-00"/>
    <n v="25"/>
    <s v="22/08/2001"/>
    <s v="Dorne"/>
    <s v="Dorne"/>
    <n v="2500"/>
    <n v="55000"/>
    <x v="0"/>
    <n v="9"/>
    <x v="1"/>
    <s v="Passa"/>
    <s v="Passa"/>
    <n v="17000"/>
    <n v="18360"/>
  </r>
  <r>
    <s v="Inativo"/>
    <s v="Margaery Cerwyn"/>
    <s v="000.000.211-00"/>
    <n v="31"/>
    <s v="02/08/1995"/>
    <s v="Vilavelha"/>
    <s v="Campina"/>
    <n v="22600"/>
    <m/>
    <x v="0"/>
    <n v="27"/>
    <x v="0"/>
    <s v="Passa"/>
    <s v="Passa"/>
    <n v="38500"/>
    <n v="0"/>
  </r>
  <r>
    <s v="Ativo"/>
    <s v="Margaery Dayne"/>
    <s v="000.000.276-00"/>
    <n v="36"/>
    <s v="10/10/1989"/>
    <s v="Jardim de Cima"/>
    <s v="Campina"/>
    <n v="23900"/>
    <m/>
    <x v="1"/>
    <n v="30"/>
    <x v="0"/>
    <s v="Negada"/>
    <s v="Passa"/>
    <n v="11000"/>
    <n v="0"/>
  </r>
  <r>
    <s v="Inativo"/>
    <s v="Margaery Dndarrin"/>
    <s v="000.000.192-00"/>
    <n v="50"/>
    <s v="14/03/1976"/>
    <s v="Correrrio"/>
    <s v="Terras Fluviais"/>
    <n v="16200"/>
    <n v="16000"/>
    <x v="0"/>
    <n v="9"/>
    <x v="1"/>
    <s v="Passa"/>
    <s v="Passa"/>
    <n v="24500"/>
    <n v="0"/>
  </r>
  <r>
    <s v="Ativo"/>
    <s v="Margaery Manderly"/>
    <s v="000.000.222-00"/>
    <n v="63"/>
    <s v="08/08/1963"/>
    <s v="Winterfell"/>
    <s v="Norte"/>
    <n v="16800"/>
    <n v="15000"/>
    <x v="0"/>
    <n v="42"/>
    <x v="0"/>
    <s v="Passa"/>
    <s v="Passa"/>
    <n v="81500"/>
    <n v="88020"/>
  </r>
  <r>
    <s v="Ativo"/>
    <s v="Margaery Marbrand"/>
    <s v="000.000.146-00"/>
    <n v="22"/>
    <s v="02/04/2004"/>
    <s v="Ponta Tempestade"/>
    <s v="Terras Da Tempestade"/>
    <n v="9200"/>
    <n v="39500"/>
    <x v="2"/>
    <m/>
    <x v="1"/>
    <s v="Passa"/>
    <s v="Passa"/>
    <m/>
    <n v="0"/>
  </r>
  <r>
    <s v="Ativo"/>
    <s v="Margaery Redwyne"/>
    <s v="000.000.018-00"/>
    <n v="26"/>
    <s v="19/08/2000"/>
    <s v="Monte Chifre"/>
    <s v="Campina"/>
    <n v="18400"/>
    <n v="7500"/>
    <x v="2"/>
    <m/>
    <x v="1"/>
    <s v="Passa"/>
    <s v="Passa"/>
    <m/>
    <n v="0"/>
  </r>
  <r>
    <s v="Ativo"/>
    <s v="Margaery Tarly"/>
    <s v="000.000.274-00"/>
    <n v="34"/>
    <s v="21/01/1992"/>
    <s v="Pyke"/>
    <s v="Ilhas De Ferro"/>
    <n v="8000"/>
    <n v="41500"/>
    <x v="0"/>
    <n v="34"/>
    <x v="0"/>
    <s v="Passa"/>
    <s v="Passa"/>
    <n v="66000"/>
    <n v="71280"/>
  </r>
  <r>
    <s v="Inativo"/>
    <s v="Margaery Tyrell"/>
    <s v="000.000.107-00"/>
    <n v="31"/>
    <s v="05/05/1995"/>
    <s v="Solar do Entardecer"/>
    <s v="Terras Da Tempestade"/>
    <n v="29500"/>
    <n v="58000"/>
    <x v="0"/>
    <n v="27"/>
    <x v="0"/>
    <s v="Passa"/>
    <s v="Passa"/>
    <n v="38000"/>
    <n v="0"/>
  </r>
  <r>
    <s v="Ativo"/>
    <s v="Meera Lannister"/>
    <s v="000.000.121-00"/>
    <n v="58"/>
    <s v="11/01/1967"/>
    <s v="Ninho da Águia"/>
    <s v="Vale"/>
    <n v="22200"/>
    <m/>
    <x v="0"/>
    <n v="4"/>
    <x v="1"/>
    <s v="Passa"/>
    <s v="Passa"/>
    <n v="80000"/>
    <n v="86400"/>
  </r>
  <r>
    <s v="N/A"/>
    <s v="Meera Payne"/>
    <s v="000.000.131-00"/>
    <n v="63"/>
    <s v="24/11/1962"/>
    <s v="Dorne"/>
    <s v="Dorne"/>
    <n v="14700"/>
    <n v="69500"/>
    <x v="0"/>
    <n v="31"/>
    <x v="0"/>
    <s v="Passa"/>
    <s v="Passa"/>
    <n v="18000"/>
    <n v="0"/>
  </r>
  <r>
    <s v="Ativo"/>
    <s v="Meera Reed"/>
    <s v="000.000.314-00"/>
    <n v="53"/>
    <s v="10/12/1972"/>
    <s v="Cole Foss"/>
    <s v="Norte"/>
    <n v="12200"/>
    <n v="26500"/>
    <x v="2"/>
    <m/>
    <x v="1"/>
    <s v="Passa"/>
    <s v="Passa"/>
    <m/>
    <n v="0"/>
  </r>
  <r>
    <s v="Ativo"/>
    <s v="Meera Tarly"/>
    <s v="000.000.326-00"/>
    <m/>
    <s v="23/06/1952"/>
    <s v="Pyke"/>
    <s v="Ilhas De Ferro"/>
    <n v="25000"/>
    <m/>
    <x v="0"/>
    <n v="12"/>
    <x v="2"/>
    <s v="Passa"/>
    <s v="Passa"/>
    <n v="69500"/>
    <n v="75060"/>
  </r>
  <r>
    <s v="Ativo"/>
    <s v="Melisandre  Baelish"/>
    <s v="000.000.152-00"/>
    <n v="69"/>
    <s v="19/08/1957"/>
    <s v="Ponta Tempestade"/>
    <s v="Terras Da Tempestade"/>
    <n v="25100"/>
    <m/>
    <x v="0"/>
    <n v="12"/>
    <x v="2"/>
    <s v="Passa"/>
    <s v="Passa"/>
    <n v="46500"/>
    <n v="50220"/>
  </r>
  <r>
    <s v="Inativo"/>
    <s v="Melisandre Barathen"/>
    <s v="000.000.020-00"/>
    <n v="58"/>
    <s v="04/08/1968"/>
    <s v="Porto Real"/>
    <s v="Terras da Coroa"/>
    <n v="4500"/>
    <n v="78000"/>
    <x v="0"/>
    <n v="25"/>
    <x v="2"/>
    <s v="Passa"/>
    <s v="Passa"/>
    <n v="48000"/>
    <n v="0"/>
  </r>
  <r>
    <s v="Ativo"/>
    <s v="Melisandre Barathen"/>
    <s v="000.000.364-00"/>
    <n v="22"/>
    <s v="N/A"/>
    <s v="Meereen"/>
    <s v="Essos"/>
    <n v="14400"/>
    <n v="19500"/>
    <x v="0"/>
    <n v="42"/>
    <x v="0"/>
    <s v="Passa"/>
    <s v="Passa"/>
    <n v="89500"/>
    <n v="96660"/>
  </r>
  <r>
    <s v="Ativo"/>
    <s v="Melisandre Blackwd"/>
    <s v="000.000.051-00"/>
    <n v="40"/>
    <s v="23/08/1986"/>
    <s v="Cole Foss"/>
    <s v="Norte"/>
    <n v="18700"/>
    <n v="66000"/>
    <x v="2"/>
    <m/>
    <x v="1"/>
    <s v="Passa"/>
    <s v="Passa"/>
    <m/>
    <n v="0"/>
  </r>
  <r>
    <s v="Ativo"/>
    <s v="Melisandre Cerwyn"/>
    <s v="000.000.120-00"/>
    <n v="29"/>
    <s v="23/11/1996"/>
    <s v="Atalaia da Água Cinzenta"/>
    <s v="Gargalo"/>
    <n v="6400"/>
    <n v="45500"/>
    <x v="0"/>
    <n v="6"/>
    <x v="1"/>
    <s v="Passa"/>
    <s v="Passa"/>
    <n v="49500"/>
    <n v="53460"/>
  </r>
  <r>
    <s v="Inativo"/>
    <s v="Melisandre Clegane"/>
    <s v="000.000.231-00"/>
    <n v="53"/>
    <s v="26/11/1972"/>
    <s v="Ilha dos Ursos"/>
    <s v="Norte"/>
    <n v="16500"/>
    <n v="68500"/>
    <x v="2"/>
    <m/>
    <x v="1"/>
    <s v="Passa"/>
    <s v="Passa"/>
    <m/>
    <n v="0"/>
  </r>
  <r>
    <s v="Ativo"/>
    <s v="Melisandre Crakehall"/>
    <s v="000.000.002-68"/>
    <n v="60"/>
    <s v="24/12/1965"/>
    <s v="Correrrio"/>
    <s v="Terras Fluviais"/>
    <n v="9700"/>
    <n v="75000"/>
    <x v="0"/>
    <n v="25"/>
    <x v="2"/>
    <s v="Passa"/>
    <s v="Passa"/>
    <n v="47000"/>
    <n v="50760"/>
  </r>
  <r>
    <s v="Inativo"/>
    <s v="Melisandre Crakehall"/>
    <s v="000.000.260-00"/>
    <n v="31"/>
    <s v="07/05/1995"/>
    <s v="Pedra do Dragão"/>
    <s v="Terras da Coroa"/>
    <n v="16400"/>
    <n v="69000"/>
    <x v="1"/>
    <n v="0"/>
    <x v="1"/>
    <s v="Passa"/>
    <s v="Negada"/>
    <n v="4500"/>
    <n v="0"/>
  </r>
  <r>
    <s v="Ativo"/>
    <s v="Melisandre Glver"/>
    <s v="000.000.329-00"/>
    <n v="22"/>
    <s v="08/05/2004"/>
    <s v="Ninho da Águia"/>
    <s v="Vale"/>
    <n v="10500"/>
    <n v="35000"/>
    <x v="0"/>
    <n v="6"/>
    <x v="1"/>
    <s v="Passa"/>
    <s v="Passa"/>
    <n v="29500"/>
    <n v="31860.000000000004"/>
  </r>
  <r>
    <s v="Ativo"/>
    <s v="Melisandre Targaryen"/>
    <s v="000.000.170-00"/>
    <n v="31"/>
    <s v="06/02/1995"/>
    <s v="Cole Foss"/>
    <s v="Norte"/>
    <n v="20500"/>
    <n v="2000"/>
    <x v="2"/>
    <m/>
    <x v="1"/>
    <s v="Passa"/>
    <s v="Passa"/>
    <m/>
    <n v="0"/>
  </r>
  <r>
    <s v="Ativo"/>
    <s v="Missandei  Tarly"/>
    <s v="000.000.196-00"/>
    <n v="58"/>
    <s v="08/03/1968"/>
    <s v="Meereen"/>
    <s v="Essos"/>
    <n v="12400"/>
    <n v="73500"/>
    <x v="0"/>
    <n v="2"/>
    <x v="1"/>
    <s v="Passa"/>
    <s v="Passa"/>
    <n v="33000"/>
    <n v="35640"/>
  </r>
  <r>
    <s v="Ativo"/>
    <s v="Missandei Arryn"/>
    <s v="000.000.003-68"/>
    <n v="50"/>
    <s v="01/12/1975"/>
    <s v="Pedra do Dragão"/>
    <s v="Terras da Coroa"/>
    <n v="22800"/>
    <m/>
    <x v="0"/>
    <n v="24"/>
    <x v="2"/>
    <s v="Passa"/>
    <s v="Passa"/>
    <n v="16000"/>
    <n v="17280"/>
  </r>
  <r>
    <s v="Ativo"/>
    <s v="Missandei Flrent"/>
    <s v="000.000.282-00"/>
    <n v="56"/>
    <s v="13/04/1970"/>
    <s v="Harrenhal"/>
    <s v="Terras Fluviais"/>
    <n v="28300"/>
    <m/>
    <x v="2"/>
    <m/>
    <x v="1"/>
    <s v="Passa"/>
    <s v="Passa"/>
    <m/>
    <n v="0"/>
  </r>
  <r>
    <s v="Inativo"/>
    <s v="Missandei Glver"/>
    <s v="000.000.340-00"/>
    <n v="38"/>
    <s v="12/07/1987"/>
    <s v="Ponta Tempestade"/>
    <s v="Terras Da Tempestade"/>
    <n v="15800"/>
    <n v="69000"/>
    <x v="0"/>
    <n v="4"/>
    <x v="1"/>
    <s v="Passa"/>
    <s v="Passa"/>
    <n v="80500"/>
    <n v="0"/>
  </r>
  <r>
    <s v="Ativo"/>
    <s v="Missandei Glver"/>
    <s v="000.000.305-00"/>
    <n v="62"/>
    <s v="24/09/1963"/>
    <s v="Castelo Negro"/>
    <s v="Norte"/>
    <n v="17000"/>
    <n v="14500"/>
    <x v="0"/>
    <n v="15"/>
    <x v="2"/>
    <s v="Passa"/>
    <s v="Passa"/>
    <n v="65500"/>
    <n v="70740"/>
  </r>
  <r>
    <s v="Ativo"/>
    <s v="Missandei Karstark"/>
    <s v="000.000.044-00"/>
    <n v="42"/>
    <s v="16/12/1983"/>
    <s v="Pedra do Dragão"/>
    <s v="Terras da Coroa"/>
    <n v="6000"/>
    <n v="48000"/>
    <x v="2"/>
    <m/>
    <x v="1"/>
    <s v="Passa"/>
    <s v="Passa"/>
    <m/>
    <n v="0"/>
  </r>
  <r>
    <s v="Ativo"/>
    <s v="Missandei Redwyne"/>
    <s v="000.000.111-00"/>
    <n v="47"/>
    <s v="06/01/1979"/>
    <s v="Meereen"/>
    <s v="Essos"/>
    <n v="5000"/>
    <n v="49500"/>
    <x v="0"/>
    <n v="12"/>
    <x v="2"/>
    <s v="Passa"/>
    <s v="Passa"/>
    <n v="34500"/>
    <n v="37260"/>
  </r>
  <r>
    <s v="Inativo"/>
    <s v="Missandei Tarly"/>
    <s v="000.000.002-00"/>
    <n v="55"/>
    <s v="20/11/1970"/>
    <s v="Ponta Tempestade"/>
    <s v="Terras Da Tempestade"/>
    <n v="5300"/>
    <n v="48500"/>
    <x v="0"/>
    <n v="28"/>
    <x v="0"/>
    <s v="Passa"/>
    <s v="Passa"/>
    <n v="20000"/>
    <n v="0"/>
  </r>
  <r>
    <s v="Inativo"/>
    <s v="Pdrick Blackwd"/>
    <s v="000.000.083-00"/>
    <n v="31"/>
    <s v="09/05/1995"/>
    <s v="Porto Real"/>
    <s v="Terras da Coroa"/>
    <n v="24900"/>
    <n v="62000"/>
    <x v="0"/>
    <n v="31"/>
    <x v="0"/>
    <s v="Passa"/>
    <s v="Passa"/>
    <n v="60500"/>
    <n v="0"/>
  </r>
  <r>
    <s v="Ativo"/>
    <s v="Pdrick Blackwd"/>
    <s v="000.000.135-00"/>
    <m/>
    <s v="18/03/1994"/>
    <s v="Dorne"/>
    <s v="Dorne"/>
    <m/>
    <m/>
    <x v="2"/>
    <m/>
    <x v="1"/>
    <s v="Passa"/>
    <s v="Passa"/>
    <m/>
    <n v="0"/>
  </r>
  <r>
    <s v="Ativo"/>
    <s v="Pdrick Dayne"/>
    <s v="000.000.223-00"/>
    <n v="25"/>
    <s v="11/01/2000"/>
    <s v="Vilavelha"/>
    <s v="Campina"/>
    <n v="9400"/>
    <n v="38500"/>
    <x v="2"/>
    <n v="26"/>
    <x v="0"/>
    <s v="Passa"/>
    <s v="Passa"/>
    <n v="51000"/>
    <n v="55080"/>
  </r>
  <r>
    <s v="Ativo"/>
    <s v="Pdrick Flrent"/>
    <s v="000.000.354-00"/>
    <n v="60"/>
    <s v="10/06/1965"/>
    <s v="Winterfell"/>
    <s v="Norte"/>
    <n v="22900"/>
    <m/>
    <x v="0"/>
    <n v="21"/>
    <x v="2"/>
    <s v="Passa"/>
    <s v="Passa"/>
    <n v="50500"/>
    <n v="54540"/>
  </r>
  <r>
    <s v="Ativo"/>
    <s v="Pdrick Stark"/>
    <s v="000.000.000-29"/>
    <n v="40"/>
    <s v="15/0.2/1986"/>
    <s v="Ilha dos Ursos"/>
    <s v="Norte"/>
    <n v="2130000"/>
    <m/>
    <x v="2"/>
    <m/>
    <x v="1"/>
    <s v="Passa"/>
    <s v="Passa"/>
    <m/>
    <n v="0"/>
  </r>
  <r>
    <s v="Ativo"/>
    <s v="Pdrick Swyft"/>
    <s v="000.000.090-00"/>
    <n v="32"/>
    <s v="05/03/1994"/>
    <s v="Correrrio"/>
    <s v="Terras Fluviais"/>
    <n v="21300"/>
    <n v="64000"/>
    <x v="1"/>
    <n v="21"/>
    <x v="2"/>
    <s v="Passa"/>
    <s v="Negada"/>
    <n v="19000"/>
    <n v="0"/>
  </r>
  <r>
    <s v="Ativo"/>
    <s v="Pdrick Targaryen"/>
    <s v="000.000.050-00"/>
    <n v="39"/>
    <s v="12/04/1987"/>
    <s v="Vilavelha"/>
    <s v="Campina"/>
    <n v="29900"/>
    <m/>
    <x v="2"/>
    <m/>
    <x v="1"/>
    <s v="Passa"/>
    <s v="Passa"/>
    <m/>
    <n v="0"/>
  </r>
  <r>
    <s v="Ativo"/>
    <s v="Pdrick Umber"/>
    <s v="000.000.053-00"/>
    <n v="56"/>
    <s v="10/01/1970"/>
    <s v="Pyke"/>
    <s v="Ilhas De Ferro"/>
    <n v="14900"/>
    <n v="69500"/>
    <x v="0"/>
    <n v="13"/>
    <x v="2"/>
    <s v="Passa"/>
    <s v="Passa"/>
    <n v="43500"/>
    <n v="46980"/>
  </r>
  <r>
    <s v="Ativo"/>
    <s v="Petyr Greyjy"/>
    <s v="000.000.301-00"/>
    <n v="42"/>
    <s v="04/08/1984"/>
    <s v="Lannisport"/>
    <s v="Westeros"/>
    <n v="20800"/>
    <n v="1500"/>
    <x v="1"/>
    <n v="32"/>
    <x v="0"/>
    <s v="Negada"/>
    <s v="Passa"/>
    <n v="53000"/>
    <n v="0"/>
  </r>
  <r>
    <s v="Inativo"/>
    <s v="Petyr Karstark"/>
    <s v="000.000.237-00"/>
    <m/>
    <s v="28/08/1952"/>
    <s v="Jardim de Cima"/>
    <s v="Campina"/>
    <n v="8900"/>
    <n v="75500"/>
    <x v="2"/>
    <m/>
    <x v="1"/>
    <s v="Passa"/>
    <s v="Passa"/>
    <m/>
    <n v="0"/>
  </r>
  <r>
    <s v="Inativo"/>
    <s v="Petyr Mallister"/>
    <s v="000.000.116-00"/>
    <m/>
    <s v="17/01/1990"/>
    <s v="Correrrio"/>
    <s v="Terras Fluviais"/>
    <n v="28100"/>
    <n v="60000"/>
    <x v="0"/>
    <n v="44"/>
    <x v="0"/>
    <s v="Passa"/>
    <s v="Passa"/>
    <n v="48000"/>
    <n v="0"/>
  </r>
  <r>
    <s v="Ativo"/>
    <s v="Petyr Snw"/>
    <s v="000.000.219-00"/>
    <n v="67"/>
    <s v="10/03/1959"/>
    <s v="Ponta Tempestade"/>
    <s v="Terras Da Tempestade"/>
    <n v="20200"/>
    <n v="3500"/>
    <x v="0"/>
    <n v="1"/>
    <x v="1"/>
    <s v="Passa"/>
    <s v="Passa"/>
    <n v="32500"/>
    <n v="35100"/>
  </r>
  <r>
    <s v="Ativo"/>
    <s v="Petyr Swyft"/>
    <s v="000.000.275-00"/>
    <n v="36"/>
    <s v="01/09/1990"/>
    <s v="Atalaia da Água Cinzenta"/>
    <s v="Gargalo"/>
    <n v="11600"/>
    <n v="28000"/>
    <x v="0"/>
    <n v="34"/>
    <x v="0"/>
    <s v="Passa"/>
    <s v="Passa"/>
    <n v="74000"/>
    <n v="79920"/>
  </r>
  <r>
    <s v="Ativo"/>
    <s v="Petyr Yrnwd"/>
    <s v="000.000.095-00"/>
    <n v="61"/>
    <s v="08/10/1965"/>
    <s v="Ilha dos Ursos"/>
    <s v="Norte"/>
    <n v="7000"/>
    <n v="43000"/>
    <x v="0"/>
    <n v="36"/>
    <x v="0"/>
    <s v="Passa"/>
    <s v="Passa"/>
    <n v="67500"/>
    <n v="72900"/>
  </r>
  <r>
    <s v="Ativo"/>
    <s v="Ramsay Blackwd"/>
    <s v="000.000.000-35"/>
    <n v="52"/>
    <s v="07/04/1974"/>
    <s v=" Jardim de Cima"/>
    <s v="Campina"/>
    <n v="17500"/>
    <n v="12000"/>
    <x v="1"/>
    <n v="27"/>
    <x v="0"/>
    <s v="Negada"/>
    <s v="Passa"/>
    <n v="67500"/>
    <n v="0"/>
  </r>
  <r>
    <s v="Ativo"/>
    <s v="Ramsay Dayne"/>
    <s v="000.000.224-00"/>
    <n v="55"/>
    <s v="19/06/1971"/>
    <s v="Ponta Tempestade"/>
    <s v="Terras Da Tempestade"/>
    <n v="9600"/>
    <n v="37000"/>
    <x v="0"/>
    <n v="1"/>
    <x v="1"/>
    <s v="Passa"/>
    <s v="Passa"/>
    <n v="87000"/>
    <n v="93960"/>
  </r>
  <r>
    <s v="Ativo"/>
    <s v="Ramsay Dndarrin"/>
    <s v="000.000.054-00"/>
    <n v="55"/>
    <s v="02/11/1970"/>
    <s v="Dorne"/>
    <s v="Dorne"/>
    <n v="29100"/>
    <n v="58000"/>
    <x v="2"/>
    <m/>
    <x v="1"/>
    <s v="Passa"/>
    <s v="Passa"/>
    <m/>
    <n v="0"/>
  </r>
  <r>
    <s v="Ativo"/>
    <s v="Ramsay Hrnwd"/>
    <s v="000.000.005-00"/>
    <n v="65"/>
    <s v="16/11/1960"/>
    <s v="Pyke"/>
    <s v="Ilhas De Ferro"/>
    <n v="23400"/>
    <m/>
    <x v="1"/>
    <n v="31"/>
    <x v="0"/>
    <s v="Negada"/>
    <s v="Passa"/>
    <n v="47500"/>
    <n v="0"/>
  </r>
  <r>
    <s v="Ativo"/>
    <s v="Ramsay Karstark"/>
    <s v="000.000.185-00"/>
    <n v="35"/>
    <s v="05/12/1991"/>
    <s v="Pedra do Dragão"/>
    <s v="Terras da Coroa"/>
    <n v="560000"/>
    <m/>
    <x v="2"/>
    <n v="41"/>
    <x v="0"/>
    <s v="Passa"/>
    <s v="Passa"/>
    <n v="83500"/>
    <n v="90180"/>
  </r>
  <r>
    <s v="N/A"/>
    <s v="Ramsay Stark"/>
    <s v="000.000.169-00"/>
    <n v="61"/>
    <s v="12/03/1965"/>
    <s v="Braavos"/>
    <s v="Essos"/>
    <n v="26300"/>
    <n v="61000"/>
    <x v="0"/>
    <n v="12"/>
    <x v="2"/>
    <s v="Passa"/>
    <s v="Passa"/>
    <n v="96500"/>
    <n v="0"/>
  </r>
  <r>
    <s v="Ativo"/>
    <s v="Ramsay Tarly"/>
    <s v="000.000.098-00"/>
    <n v="35"/>
    <s v="21/07/1991"/>
    <s v="Pyke"/>
    <s v="Ilhas De Ferro"/>
    <n v="2000"/>
    <n v="80000"/>
    <x v="0"/>
    <n v="41"/>
    <x v="0"/>
    <s v="Passa"/>
    <s v="Passa"/>
    <n v="30000"/>
    <n v="32400.000000000004"/>
  </r>
  <r>
    <s v="Ativo"/>
    <s v="Rbb Barathen"/>
    <s v="000.000.365-00"/>
    <n v="54"/>
    <s v="24/03/1972"/>
    <s v="Ponta Tempestade"/>
    <s v="Terras Da Tempestade"/>
    <n v="22100"/>
    <m/>
    <x v="0"/>
    <n v="10"/>
    <x v="1"/>
    <s v="Passa"/>
    <s v="Passa"/>
    <n v="87000"/>
    <n v="93960"/>
  </r>
  <r>
    <s v="Ativo"/>
    <s v="Rbb Clegane"/>
    <s v="000.000.304-00"/>
    <n v="18"/>
    <s v="13/09/2007"/>
    <s v="Cole Foss"/>
    <s v="Norte"/>
    <n v="14100"/>
    <n v="70000"/>
    <x v="1"/>
    <n v="34"/>
    <x v="0"/>
    <s v="Negada"/>
    <s v="Negada"/>
    <n v="7500"/>
    <n v="0"/>
  </r>
  <r>
    <s v="Ativo"/>
    <s v="Rbb Greyjy"/>
    <s v="000.000.227-00"/>
    <n v="25"/>
    <s v="14/06/2001"/>
    <s v="Cole Foss"/>
    <s v="Norte"/>
    <n v="25400"/>
    <m/>
    <x v="0"/>
    <n v="10"/>
    <x v="1"/>
    <s v="Passa"/>
    <s v="Passa"/>
    <n v="31000"/>
    <n v="33480"/>
  </r>
  <r>
    <s v="Ativo"/>
    <s v="Rbb Reed"/>
    <s v="000.000.246-00"/>
    <m/>
    <s v="19/06/1997"/>
    <s v="Harrenhal"/>
    <s v="Terras Fluviais"/>
    <n v="9600"/>
    <n v="37500"/>
    <x v="0"/>
    <m/>
    <x v="1"/>
    <s v="Passa"/>
    <s v="Passa"/>
    <n v="77000"/>
    <n v="83160"/>
  </r>
  <r>
    <s v="Ativo"/>
    <s v="Rbb Stark"/>
    <s v="000.000.228-00"/>
    <n v="65"/>
    <s v="08/12/1961"/>
    <s v="Ilha dos Ursos"/>
    <s v="Norte"/>
    <n v="29000"/>
    <n v="58500"/>
    <x v="0"/>
    <n v="37"/>
    <x v="0"/>
    <s v="Passa"/>
    <s v="Passa"/>
    <n v="48000"/>
    <n v="51840"/>
  </r>
  <r>
    <s v="Ativo"/>
    <s v="Rbert Cerwyn"/>
    <s v="000.000.300-00"/>
    <n v="48"/>
    <s v="19/01/1978"/>
    <s v="Harrenhal"/>
    <s v="Terras Fluviais"/>
    <n v="17800"/>
    <n v="12000"/>
    <x v="0"/>
    <n v="6"/>
    <x v="1"/>
    <s v="Passa"/>
    <s v="Passa"/>
    <n v="11000"/>
    <n v="11880"/>
  </r>
  <r>
    <s v="Ativo"/>
    <s v="Rbert Hrnwd"/>
    <s v="000.000.259-00"/>
    <n v="73"/>
    <s v="04/01/1953"/>
    <s v="Jardim de Cima"/>
    <s v="Campina"/>
    <n v="23000"/>
    <m/>
    <x v="0"/>
    <n v="17"/>
    <x v="2"/>
    <s v="Passa"/>
    <s v="Passa"/>
    <n v="55500"/>
    <n v="59940.000000000007"/>
  </r>
  <r>
    <s v="Ativo"/>
    <s v="Rbert Hrnwd"/>
    <s v="000.000.285-00"/>
    <n v="41"/>
    <s v="09/03/1985"/>
    <s v="Castelo Negro"/>
    <s v="Norte"/>
    <n v="23100"/>
    <m/>
    <x v="0"/>
    <n v="42"/>
    <x v="0"/>
    <s v="Passa"/>
    <s v="Passa"/>
    <n v="33000"/>
    <n v="35640"/>
  </r>
  <r>
    <s v="Ativo"/>
    <s v="Rbert Karstark"/>
    <s v="000.000.184-00"/>
    <m/>
    <s v="12/07/1958"/>
    <s v="Meereen"/>
    <s v="Essos"/>
    <n v="14300"/>
    <n v="21000"/>
    <x v="0"/>
    <n v="34"/>
    <x v="0"/>
    <s v="Passa"/>
    <s v="Passa"/>
    <n v="7500"/>
    <n v="8100.0000000000009"/>
  </r>
  <r>
    <s v="Ativo"/>
    <s v="Rbert Mallister"/>
    <s v="000.000.037-00"/>
    <n v="25"/>
    <s v="25/10/2000"/>
    <s v="Castelo Negro"/>
    <s v="Norte"/>
    <n v="18300"/>
    <n v="8000"/>
    <x v="0"/>
    <n v="39"/>
    <x v="0"/>
    <s v="Passa"/>
    <s v="Passa"/>
    <n v="36000"/>
    <n v="38880"/>
  </r>
  <r>
    <s v="Inativo"/>
    <s v="Rbert Mallister"/>
    <s v="000.000.327-00"/>
    <n v="57"/>
    <s v="15/06/1969"/>
    <s v="Braavos"/>
    <s v="Essos"/>
    <n v="28600"/>
    <m/>
    <x v="2"/>
    <m/>
    <x v="1"/>
    <s v="Passa"/>
    <s v="Passa"/>
    <m/>
    <n v="0"/>
  </r>
  <r>
    <s v="Inativo"/>
    <s v="Rbert Manderly"/>
    <s v="000.000.230-00"/>
    <n v="53"/>
    <s v="21/03/1973"/>
    <s v="Pyke"/>
    <s v="Ilhas De Ferro"/>
    <n v="26400"/>
    <n v="61000"/>
    <x v="1"/>
    <n v="9"/>
    <x v="1"/>
    <s v="Passa"/>
    <s v="Negada"/>
    <n v="88000"/>
    <n v="0"/>
  </r>
  <r>
    <s v="Inativo"/>
    <s v="Rbert Payne"/>
    <s v="000.000.000-68"/>
    <n v="57"/>
    <s v="11/05/1968"/>
    <s v="Monte Chifre"/>
    <s v="Campina"/>
    <n v="2630000"/>
    <m/>
    <x v="2"/>
    <m/>
    <x v="1"/>
    <s v="Passa"/>
    <s v="Passa"/>
    <m/>
    <n v="0"/>
  </r>
  <r>
    <s v="Ativo"/>
    <s v="Rbert Stark"/>
    <s v="000.000.315-00"/>
    <n v="57"/>
    <s v="27/05/1969"/>
    <s v="Harrenhal"/>
    <s v="Terras Fluviais"/>
    <n v="20600"/>
    <n v="1500"/>
    <x v="0"/>
    <n v="26"/>
    <x v="0"/>
    <s v="Passa"/>
    <s v="Passa"/>
    <n v="36000"/>
    <n v="38880"/>
  </r>
  <r>
    <s v="Ativo"/>
    <s v="Rbert Tarth"/>
    <s v="000.000.001-00"/>
    <n v="27"/>
    <s v="05/08/1999"/>
    <s v="Winterfell"/>
    <s v="Norte"/>
    <n v="29700"/>
    <m/>
    <x v="2"/>
    <m/>
    <x v="1"/>
    <s v="Passa"/>
    <s v="Passa"/>
    <m/>
    <n v="0"/>
  </r>
  <r>
    <s v="Ativo"/>
    <s v="Rbert Westerling"/>
    <s v="000.000.105-00"/>
    <n v="25"/>
    <s v="15/08/2001"/>
    <s v="Jardim de Cima"/>
    <s v="Campina"/>
    <n v="27300"/>
    <m/>
    <x v="0"/>
    <n v="9"/>
    <x v="1"/>
    <s v="Passa"/>
    <s v="Passa"/>
    <n v="14500"/>
    <n v="15660.000000000002"/>
  </r>
  <r>
    <s v="Ativo"/>
    <s v="Rbert Yrnwd"/>
    <s v="000.000.075-00"/>
    <n v="67"/>
    <s v="15/03/1959"/>
    <s v="Winterfell"/>
    <s v="Norte"/>
    <n v="8500"/>
    <n v="40500"/>
    <x v="0"/>
    <n v="20"/>
    <x v="2"/>
    <s v="Passa"/>
    <s v="Passa"/>
    <n v="2500"/>
    <n v="2700"/>
  </r>
  <r>
    <s v="Inativo"/>
    <s v="Renly Blackwd"/>
    <s v="000.000.106-00"/>
    <n v="20"/>
    <s v="18/12/2005"/>
    <s v="Solar do Entardecer"/>
    <s v="Terras Da Tempestade"/>
    <n v="12900"/>
    <n v="24000"/>
    <x v="0"/>
    <n v="2"/>
    <x v="1"/>
    <s v="Passa"/>
    <s v="Passa"/>
    <n v="17500"/>
    <n v="0"/>
  </r>
  <r>
    <s v="Inativo"/>
    <s v="Renly Bltn"/>
    <s v="000.000.206-00"/>
    <n v="55"/>
    <s v="22/05/1971"/>
    <s v="Ninho da Águia"/>
    <s v="Vale"/>
    <n v="21100"/>
    <n v="64500"/>
    <x v="1"/>
    <n v="32"/>
    <x v="0"/>
    <s v="Negada"/>
    <s v="Negada"/>
    <n v="35500"/>
    <n v="0"/>
  </r>
  <r>
    <s v="Ativo"/>
    <s v="Renly Bltn"/>
    <s v="000.000.303-00"/>
    <n v="24"/>
    <s v="N/A"/>
    <s v="Castelo Negro"/>
    <s v="Norte"/>
    <n v="29300"/>
    <m/>
    <x v="2"/>
    <m/>
    <x v="1"/>
    <s v="Passa"/>
    <s v="Passa"/>
    <m/>
    <n v="0"/>
  </r>
  <r>
    <s v="Inativo"/>
    <s v="Renly Dayne"/>
    <s v="000.000.065-00"/>
    <m/>
    <s v="09/11/1953"/>
    <s v="Dorne"/>
    <s v="Dorne"/>
    <n v="21000"/>
    <n v="1000"/>
    <x v="1"/>
    <n v="24"/>
    <x v="2"/>
    <s v="Passa"/>
    <s v="Passa"/>
    <n v="61500"/>
    <n v="0"/>
  </r>
  <r>
    <s v="Ativo"/>
    <s v="Renly Mallister"/>
    <s v="000.000.372-00"/>
    <n v="34"/>
    <s v="14/10/1991"/>
    <s v="Winterfell"/>
    <s v="Norte"/>
    <n v="28000"/>
    <m/>
    <x v="2"/>
    <m/>
    <x v="1"/>
    <s v="Passa"/>
    <s v="Passa"/>
    <m/>
    <n v="0"/>
  </r>
  <r>
    <s v="Ativo"/>
    <s v="Renly Mrmnt"/>
    <s v="000.000.376-00"/>
    <n v="57"/>
    <s v="27/12/1968"/>
    <s v="Vilavelha"/>
    <s v="Campina"/>
    <n v="20700"/>
    <n v="64500"/>
    <x v="2"/>
    <m/>
    <x v="1"/>
    <s v="Passa"/>
    <s v="Passa"/>
    <m/>
    <n v="0"/>
  </r>
  <r>
    <s v="Inativo"/>
    <s v="Renly Redwyne"/>
    <s v="000.000.045-00"/>
    <n v="66"/>
    <s v="02/08/1960"/>
    <s v="Porto Real"/>
    <s v="Terras da Coroa"/>
    <n v="3400"/>
    <n v="52500"/>
    <x v="2"/>
    <n v="16"/>
    <x v="2"/>
    <s v="Passa"/>
    <s v="Passa"/>
    <n v="97000"/>
    <n v="0"/>
  </r>
  <r>
    <s v="Ativo"/>
    <s v="Renly Seawrth"/>
    <s v="000.000.350-00"/>
    <n v="18"/>
    <s v="17/09/2007"/>
    <s v="Vilavelha"/>
    <s v="Campina"/>
    <n v="28900"/>
    <m/>
    <x v="2"/>
    <m/>
    <x v="1"/>
    <s v="Passa"/>
    <s v="Passa"/>
    <m/>
    <n v="0"/>
  </r>
  <r>
    <s v="Ativo"/>
    <s v="Renly Stark"/>
    <s v="000.000.252-00"/>
    <n v="44"/>
    <s v="05/10/1982"/>
    <s v="Braavos"/>
    <s v="Essos"/>
    <n v="9600"/>
    <n v="37000"/>
    <x v="0"/>
    <n v="34"/>
    <x v="0"/>
    <s v="Passa"/>
    <s v="Passa"/>
    <n v="87000"/>
    <n v="93960"/>
  </r>
  <r>
    <s v="Inativo"/>
    <s v="Renly Tallhart"/>
    <s v="000.000.117-00"/>
    <n v="27"/>
    <s v="22/12/1998"/>
    <s v="Winterfell"/>
    <s v="Norte"/>
    <n v="25900"/>
    <n v="61500"/>
    <x v="0"/>
    <n v="1"/>
    <x v="1"/>
    <s v="Passa"/>
    <s v="Passa"/>
    <n v="50500"/>
    <n v="0"/>
  </r>
  <r>
    <s v="Ativo"/>
    <s v="Rhaegar Dayne"/>
    <s v="000.000.335-00"/>
    <n v="35"/>
    <s v="12/03/1991"/>
    <s v="Correrrio"/>
    <s v="Terras Fluviais"/>
    <n v="28500"/>
    <m/>
    <x v="2"/>
    <n v="8"/>
    <x v="1"/>
    <s v="Passa"/>
    <s v="Passa"/>
    <n v="33000"/>
    <n v="35640"/>
  </r>
  <r>
    <s v="Ativo"/>
    <s v="Rhaegar Hrnwd"/>
    <s v="000.000.178-00"/>
    <n v="30"/>
    <s v="14/02/1996"/>
    <s v="Ponta Tempestade"/>
    <s v="Terras Da Tempestade"/>
    <n v="2600"/>
    <n v="54500"/>
    <x v="0"/>
    <n v="34"/>
    <x v="0"/>
    <s v="Passa"/>
    <s v="Passa"/>
    <n v="72000"/>
    <n v="77760"/>
  </r>
  <r>
    <s v="Ativo"/>
    <s v="Rhaegar Lannister"/>
    <s v="000.000.370-00"/>
    <n v="24"/>
    <s v="02/03/2002"/>
    <s v="Jardim de Cima"/>
    <s v="Campina"/>
    <n v="6400"/>
    <n v="78000"/>
    <x v="1"/>
    <n v="14"/>
    <x v="2"/>
    <s v="Passa"/>
    <s v="Negada"/>
    <n v="27000"/>
    <n v="0"/>
  </r>
  <r>
    <s v="Ativo"/>
    <s v="Rhaegar Mrmnt"/>
    <s v="000.000.109-00"/>
    <n v="64"/>
    <s v="18/07/1962"/>
    <s v="Cole Foss"/>
    <s v="Norte"/>
    <n v="12700"/>
    <n v="25000"/>
    <x v="2"/>
    <m/>
    <x v="1"/>
    <s v="Passa"/>
    <s v="Passa"/>
    <m/>
    <n v="0"/>
  </r>
  <r>
    <s v="Ativo"/>
    <s v="Rhaegar Payne"/>
    <s v="000.000.253-00"/>
    <n v="60"/>
    <s v="14/06/1966"/>
    <s v="Monte Chifre"/>
    <s v="Campina"/>
    <n v="17300"/>
    <n v="14500"/>
    <x v="0"/>
    <n v="4"/>
    <x v="1"/>
    <s v="Passa"/>
    <s v="Passa"/>
    <n v="21000"/>
    <n v="22680"/>
  </r>
  <r>
    <s v="Inativo"/>
    <s v="Rhaegar Stark"/>
    <s v="000.000.119-00"/>
    <n v="33"/>
    <s v="23/04/1993"/>
    <s v="Meereen"/>
    <s v="Essos"/>
    <n v="23600"/>
    <m/>
    <x v="1"/>
    <n v="3"/>
    <x v="1"/>
    <s v="Passa"/>
    <s v="Passa"/>
    <n v="7000"/>
    <n v="0"/>
  </r>
  <r>
    <s v="Ativo"/>
    <s v="Rhaegar Tallhart"/>
    <s v="000.000.348-00"/>
    <n v="26"/>
    <s v="11/03/2000"/>
    <s v="Ilha dos Ursos"/>
    <s v="Norte"/>
    <n v="3500"/>
    <n v="52000"/>
    <x v="2"/>
    <m/>
    <x v="1"/>
    <s v="Passa"/>
    <s v="Passa"/>
    <m/>
    <n v="0"/>
  </r>
  <r>
    <s v="Ativo"/>
    <s v="Rhaegar Targaryen"/>
    <s v="000.000.342-00"/>
    <n v="51"/>
    <s v="19/01/1975"/>
    <s v="Cole Foss"/>
    <s v="Norte"/>
    <n v="18500"/>
    <n v="6500"/>
    <x v="0"/>
    <n v="42"/>
    <x v="0"/>
    <s v="Passa"/>
    <s v="Passa"/>
    <n v="96000"/>
    <n v="103680"/>
  </r>
  <r>
    <s v="Ativo"/>
    <s v="Rhaegar Umber"/>
    <s v="000.000.247-00"/>
    <n v="19"/>
    <s v="18/05/2007"/>
    <s v="Vilavelha"/>
    <s v="Campina"/>
    <n v="18000"/>
    <n v="9000"/>
    <x v="2"/>
    <m/>
    <x v="1"/>
    <s v="Passa"/>
    <s v="Passa"/>
    <m/>
    <n v="0"/>
  </r>
  <r>
    <s v="Ativo"/>
    <s v="Rickn Crakehall"/>
    <s v="000.000.066-00"/>
    <n v="24"/>
    <s v="28/06/2002"/>
    <s v="Atalaia da Água Cinzenta"/>
    <s v="Gargalo"/>
    <n v="6100"/>
    <n v="47000"/>
    <x v="0"/>
    <n v="19"/>
    <x v="2"/>
    <s v="Passa"/>
    <s v="Passa"/>
    <n v="20500"/>
    <n v="22140"/>
  </r>
  <r>
    <s v="Ativo"/>
    <s v="Rickn Frey"/>
    <s v="000.000.013-00"/>
    <n v="60"/>
    <s v="05/04/1966"/>
    <s v="Solar do Entardecer"/>
    <s v="Terras Da Tempestade"/>
    <n v="5500"/>
    <n v="78000"/>
    <x v="0"/>
    <n v="28"/>
    <x v="0"/>
    <s v="Passa"/>
    <s v="Passa"/>
    <n v="74500"/>
    <n v="80460"/>
  </r>
  <r>
    <s v="Ativo"/>
    <s v="Rickn Hrnwd"/>
    <s v="000.000.000-78"/>
    <n v="35"/>
    <s v="09/03/1991"/>
    <s v="Ponta Tempestade"/>
    <s v="Terras Da Tempestade"/>
    <n v="9700"/>
    <n v="37000"/>
    <x v="0"/>
    <n v="15"/>
    <x v="2"/>
    <s v="Passa"/>
    <s v="Passa"/>
    <n v="41500"/>
    <n v="44820"/>
  </r>
  <r>
    <s v="Ativo"/>
    <s v="Rickn Karstark"/>
    <s v="000.000.360-00"/>
    <n v="26"/>
    <s v="17/02/2000"/>
    <s v="Castelo Negro"/>
    <s v="Norte"/>
    <n v="4800"/>
    <n v="49500"/>
    <x v="0"/>
    <n v="16"/>
    <x v="2"/>
    <s v="Passa"/>
    <s v="Passa"/>
    <n v="15500"/>
    <n v="16740"/>
  </r>
  <r>
    <s v="Ativo"/>
    <s v="Rickn Karstark"/>
    <s v="000.000.088-00"/>
    <n v="74"/>
    <s v="07/05/1952"/>
    <s v="Castelo Negro"/>
    <s v="Norte"/>
    <n v="7300"/>
    <n v="42000"/>
    <x v="1"/>
    <n v="27"/>
    <x v="0"/>
    <s v="Negada"/>
    <s v="Passa"/>
    <n v="40000"/>
    <n v="0"/>
  </r>
  <r>
    <s v="Ativo"/>
    <s v="Rickn Karstark"/>
    <s v="000.000.089-00"/>
    <m/>
    <s v="23/08/1991"/>
    <s v="Atalaia da Água Cinzenta"/>
    <s v="Gargalo"/>
    <n v="24000"/>
    <m/>
    <x v="1"/>
    <n v="29"/>
    <x v="0"/>
    <s v="Negada"/>
    <s v="Passa"/>
    <n v="51500"/>
    <n v="0"/>
  </r>
  <r>
    <s v="Ativo"/>
    <s v="Rickn Lannister"/>
    <s v="000.000.197-00"/>
    <n v="53"/>
    <s v="22/08/1973"/>
    <s v="Cole Foss"/>
    <s v="Norte"/>
    <n v="27100"/>
    <m/>
    <x v="0"/>
    <n v="18"/>
    <x v="2"/>
    <s v="Passa"/>
    <s v="Passa"/>
    <m/>
    <n v="0"/>
  </r>
  <r>
    <s v="Ativo"/>
    <s v="Rickn Redwyne"/>
    <s v="000.000.150-00"/>
    <n v="73"/>
    <s v="17/08/1953"/>
    <s v="Cole Foss"/>
    <s v="Norte"/>
    <n v="28600"/>
    <n v="59000"/>
    <x v="0"/>
    <n v="4"/>
    <x v="1"/>
    <s v="Passa"/>
    <s v="Passa"/>
    <n v="73500"/>
    <n v="79380"/>
  </r>
  <r>
    <s v="Ativo"/>
    <s v="Rickn Targaryen"/>
    <s v="000.000.298-00"/>
    <n v="19"/>
    <s v="13/10/2006"/>
    <s v="Ilha dos Ursos"/>
    <s v="Norte"/>
    <n v="4000"/>
    <n v="50500"/>
    <x v="1"/>
    <n v="11"/>
    <x v="2"/>
    <s v="Passa"/>
    <s v="Negada"/>
    <n v="26000"/>
    <n v="0"/>
  </r>
  <r>
    <s v="Ativo"/>
    <s v="Rse Baelish"/>
    <s v="000.000.003-66"/>
    <n v="28"/>
    <s v="02/06/1998"/>
    <s v="Harrenhal"/>
    <s v="Terras Fluviais"/>
    <n v="14600"/>
    <n v="18500"/>
    <x v="1"/>
    <n v="22"/>
    <x v="2"/>
    <s v="Passa"/>
    <s v="Passa"/>
    <n v="16500"/>
    <n v="17820"/>
  </r>
  <r>
    <s v="Ativo"/>
    <s v="Rse Bltn"/>
    <s v="000.000.137-00"/>
    <n v="73"/>
    <s v="25/11/1952"/>
    <s v="Atalaia da Água Cinzenta"/>
    <s v="Gargalo"/>
    <n v="18100"/>
    <n v="8500"/>
    <x v="0"/>
    <n v="39"/>
    <x v="0"/>
    <s v="Passa"/>
    <s v="Passa"/>
    <n v="36500"/>
    <n v="39420"/>
  </r>
  <r>
    <s v="Ativo"/>
    <s v="Rse Bracken"/>
    <s v="000.000.188-00"/>
    <n v="43"/>
    <s v="08/02/1983"/>
    <s v="Ilha dos Ursos"/>
    <s v="Norte"/>
    <n v="21700"/>
    <n v="63500"/>
    <x v="0"/>
    <n v="24"/>
    <x v="2"/>
    <s v="Passa"/>
    <s v="Passa"/>
    <n v="87000"/>
    <n v="93960"/>
  </r>
  <r>
    <s v="Inativo"/>
    <s v="Rse Cerwyn"/>
    <s v="000.000.047-00"/>
    <n v="63"/>
    <s v="14/03/1963"/>
    <s v="Vilavelha"/>
    <s v="Campina"/>
    <n v="17300"/>
    <n v="14000"/>
    <x v="0"/>
    <n v="3"/>
    <x v="1"/>
    <s v="Passa"/>
    <s v="Passa"/>
    <n v="11500"/>
    <n v="0"/>
  </r>
  <r>
    <s v="Inativo"/>
    <s v="Rse Cerwyn"/>
    <s v="000.000.349-00"/>
    <n v="32"/>
    <s v="22/02/1994"/>
    <s v="Castelo Negro"/>
    <s v="Norte"/>
    <n v="20500"/>
    <n v="3000"/>
    <x v="1"/>
    <n v="40"/>
    <x v="0"/>
    <s v="Negada"/>
    <s v="Passa"/>
    <n v="26000"/>
    <n v="0"/>
  </r>
  <r>
    <s v="Ativo"/>
    <s v="Rse Dndarrin"/>
    <s v="000.000.126-00"/>
    <n v="53"/>
    <s v="17/11/1972"/>
    <s v="Ninho da Águia"/>
    <s v="Vale"/>
    <n v="21300"/>
    <n v="63500"/>
    <x v="0"/>
    <n v="18"/>
    <x v="2"/>
    <s v="Passa"/>
    <s v="Passa"/>
    <n v="3000"/>
    <n v="3240"/>
  </r>
  <r>
    <s v="Inativo"/>
    <s v="Rse Frey"/>
    <s v="000.000.002-92"/>
    <n v="62"/>
    <s v="13/12/1963"/>
    <s v="Jardim de Cima"/>
    <s v="Campina"/>
    <n v="14600"/>
    <n v="19000"/>
    <x v="2"/>
    <m/>
    <x v="1"/>
    <s v="Passa"/>
    <s v="Passa"/>
    <m/>
    <n v="0"/>
  </r>
  <r>
    <s v="Ativo"/>
    <s v="Rse Manderly"/>
    <s v="000.000.154-00"/>
    <n v="42"/>
    <s v="22/11/1983"/>
    <s v="Dorne"/>
    <s v="Dorne"/>
    <m/>
    <m/>
    <x v="2"/>
    <m/>
    <x v="1"/>
    <s v="Passa"/>
    <s v="Passa"/>
    <m/>
    <n v="0"/>
  </r>
  <r>
    <s v="Inativo"/>
    <s v="Samwell Glver"/>
    <s v="000.000.160-00"/>
    <n v="73"/>
    <s v="11/01/1952"/>
    <s v="Ponta Tempestade"/>
    <s v="Terras Da Tempestade"/>
    <n v="7100"/>
    <n v="42500"/>
    <x v="1"/>
    <n v="29"/>
    <x v="0"/>
    <s v="Negada"/>
    <s v="Passa"/>
    <n v="66000"/>
    <n v="0"/>
  </r>
  <r>
    <s v="Ativo"/>
    <s v="Samwell Yrnwd"/>
    <s v="000.000.124-00"/>
    <n v="29"/>
    <s v="15/09/1996"/>
    <s v="Jardim de Cima"/>
    <s v="Campina"/>
    <n v="21200"/>
    <n v="1000"/>
    <x v="1"/>
    <n v="42"/>
    <x v="0"/>
    <s v="Negada"/>
    <s v="Passa"/>
    <n v="16500"/>
    <n v="0"/>
  </r>
  <r>
    <s v="Ativo"/>
    <s v="Sandr Clegane"/>
    <s v="000.000.164-00"/>
    <n v="62"/>
    <s v="02/11/1963"/>
    <s v="Winterfell"/>
    <s v="Norte"/>
    <n v="10500"/>
    <n v="35000"/>
    <x v="0"/>
    <n v="40"/>
    <x v="0"/>
    <s v="Passa"/>
    <s v="Passa"/>
    <n v="1000"/>
    <n v="1080"/>
  </r>
  <r>
    <s v="Ativo"/>
    <s v="Sandr Dndarrin"/>
    <s v="000.000.082-00"/>
    <n v="20"/>
    <s v="26/06/2006"/>
    <s v="Ilha dos Ursos"/>
    <s v="Norte"/>
    <n v="24900"/>
    <m/>
    <x v="0"/>
    <n v="27"/>
    <x v="0"/>
    <s v="Passa"/>
    <s v="Passa"/>
    <n v="33500"/>
    <n v="36180"/>
  </r>
  <r>
    <s v="Ativo"/>
    <s v="Sandr Westerling"/>
    <s v="000.000.337-00"/>
    <n v="44"/>
    <s v="04/08/1982"/>
    <s v="Vilavelha"/>
    <s v="Campina"/>
    <n v="5500"/>
    <n v="48500"/>
    <x v="1"/>
    <n v="6"/>
    <x v="1"/>
    <s v="Passa"/>
    <s v="Passa"/>
    <n v="56500"/>
    <n v="61020.000000000007"/>
  </r>
  <r>
    <s v="Ativo"/>
    <s v="Sandr Westerling"/>
    <s v="000.000.008-00"/>
    <n v="71"/>
    <s v="10/03/1954"/>
    <s v="Atalaia da Água Cinzenta"/>
    <s v="Gargalo"/>
    <n v="15100"/>
    <n v="17500"/>
    <x v="0"/>
    <n v="19"/>
    <x v="2"/>
    <s v="Passa"/>
    <s v="Passa"/>
    <n v="26000"/>
    <n v="28080.000000000004"/>
  </r>
  <r>
    <s v="Ativo"/>
    <s v="Sansa Clegane"/>
    <s v="000.000.174-00"/>
    <m/>
    <s v="01/05/1959"/>
    <s v=" Ponta Tempestade"/>
    <s v="Terras Da Tempestade"/>
    <n v="6500"/>
    <n v="45000"/>
    <x v="0"/>
    <n v="34"/>
    <x v="0"/>
    <s v="Passa"/>
    <s v="Passa"/>
    <n v="41500"/>
    <n v="44820"/>
  </r>
  <r>
    <s v="Ativo"/>
    <s v="Sansa Dndarrin"/>
    <s v="000.000.101-00"/>
    <n v="22"/>
    <s v="11/11/2003"/>
    <s v="Ninho da Águia"/>
    <s v="Vale"/>
    <n v="4100"/>
    <n v="78500"/>
    <x v="0"/>
    <n v="1"/>
    <x v="1"/>
    <s v="Passa"/>
    <s v="Passa"/>
    <n v="42000"/>
    <n v="45360"/>
  </r>
  <r>
    <s v="Ativo"/>
    <s v="Shae  Dayne"/>
    <s v="000.000.312-00"/>
    <n v="25"/>
    <s v="23/09/2000"/>
    <s v="Ninho da Águia"/>
    <s v="Vale"/>
    <n v="22100"/>
    <m/>
    <x v="0"/>
    <n v="16"/>
    <x v="2"/>
    <s v="Passa"/>
    <s v="Passa"/>
    <n v="61500"/>
    <n v="66420"/>
  </r>
  <r>
    <s v="N/A"/>
    <s v="Shae Blackwd"/>
    <s v="000.000.145-00"/>
    <n v="64"/>
    <s v="18/07/1962 "/>
    <s v="Atalaia da Água Cinzenta"/>
    <s v="Gargalo"/>
    <n v="940000"/>
    <m/>
    <x v="3"/>
    <n v="26"/>
    <x v="0"/>
    <s v="Passa"/>
    <s v="Passa"/>
    <n v="89000"/>
    <n v="0"/>
  </r>
  <r>
    <s v="Ativo"/>
    <s v="Shae Clegane"/>
    <s v="000.000.205-00"/>
    <n v="40"/>
    <s v="05/07/1986"/>
    <s v="Cole Foss"/>
    <s v="Norte"/>
    <n v="9900"/>
    <n v="36500"/>
    <x v="2"/>
    <m/>
    <x v="1"/>
    <s v="Passa"/>
    <s v="Passa"/>
    <m/>
    <n v="0"/>
  </r>
  <r>
    <s v="Ativo"/>
    <s v="Shae Frey"/>
    <s v="000.000.127-00"/>
    <n v="26"/>
    <s v="24/12/1999"/>
    <s v="Ilha dos Ursos"/>
    <s v="Norte"/>
    <n v="5000"/>
    <n v="78000"/>
    <x v="0"/>
    <n v="9"/>
    <x v="1"/>
    <s v="Passa"/>
    <s v="Passa"/>
    <n v="51500"/>
    <n v="55620.000000000007"/>
  </r>
  <r>
    <s v="Ativo"/>
    <s v="Shae Mrmnt"/>
    <s v="000.000.114-00"/>
    <n v="72"/>
    <s v="21/09/1953"/>
    <s v="Lannisport"/>
    <s v="Westeros"/>
    <n v="12600"/>
    <n v="72000"/>
    <x v="0"/>
    <n v="35"/>
    <x v="0"/>
    <s v="Passa"/>
    <s v="Passa"/>
    <n v="79000"/>
    <n v="85320"/>
  </r>
  <r>
    <s v="Ativo"/>
    <s v="Shae Mrmnt"/>
    <s v="000.000.307-00"/>
    <n v="63"/>
    <s v="09/11/1962"/>
    <s v="Dorne"/>
    <s v="Dorne"/>
    <n v="5500"/>
    <n v="48000"/>
    <x v="2"/>
    <m/>
    <x v="1"/>
    <s v="Passa"/>
    <s v="Passa"/>
    <m/>
    <n v="0"/>
  </r>
  <r>
    <s v="Ativo"/>
    <s v="Shae Seawrth"/>
    <s v="000.000.030-00"/>
    <n v="33"/>
    <s v="27/02/1993"/>
    <s v="Braavos"/>
    <s v="Essos"/>
    <n v="3400"/>
    <n v="53000"/>
    <x v="1"/>
    <n v="20"/>
    <x v="2"/>
    <s v="Passa"/>
    <s v="Negada"/>
    <n v="52500"/>
    <n v="0"/>
  </r>
  <r>
    <s v="Inativo"/>
    <s v="Shae Tarly"/>
    <s v="000.000.235-00"/>
    <n v="33"/>
    <s v="25/10/1992"/>
    <s v="Jardim de Cima"/>
    <s v="Campina"/>
    <n v="12500"/>
    <n v="25000"/>
    <x v="0"/>
    <n v="0"/>
    <x v="1"/>
    <s v="Passa"/>
    <s v="Passa"/>
    <n v="55500"/>
    <n v="0"/>
  </r>
  <r>
    <s v="Inativo"/>
    <s v="Stannis  Cerwyn"/>
    <s v="000.000.034-00"/>
    <n v="35"/>
    <s v="27/11/1990"/>
    <s v="Winterfell"/>
    <s v="Norte"/>
    <n v="17600"/>
    <n v="12000"/>
    <x v="0"/>
    <n v="37"/>
    <x v="0"/>
    <s v="Passa"/>
    <s v="Passa"/>
    <n v="49000"/>
    <n v="0"/>
  </r>
  <r>
    <s v="Ativo"/>
    <s v="Stannis Crakehall"/>
    <s v="000.000.351-00"/>
    <n v="71"/>
    <s v="05/07/1955"/>
    <s v="Lannisport"/>
    <s v="Westeros"/>
    <n v="14200"/>
    <n v="21500"/>
    <x v="1"/>
    <n v="24"/>
    <x v="2"/>
    <s v="Passa"/>
    <s v="Passa"/>
    <n v="80000"/>
    <n v="86400"/>
  </r>
  <r>
    <s v="Ativo"/>
    <s v="Stannis Greyjy"/>
    <s v="000.000.236-00"/>
    <n v="69"/>
    <s v="05/03/1957"/>
    <s v="Pedra do Dragão"/>
    <s v="Terras da Coroa"/>
    <n v="13800"/>
    <n v="23000"/>
    <x v="2"/>
    <n v="22"/>
    <x v="2"/>
    <s v="Passa"/>
    <s v="Passa"/>
    <n v="99000"/>
    <n v="106920"/>
  </r>
  <r>
    <s v="Inativo"/>
    <s v="Stannis Lannister"/>
    <s v="000.000.361-00"/>
    <n v="24"/>
    <s v="26/02/2002"/>
    <s v="Ponta Tempestade"/>
    <s v="Terras Da Tempestade"/>
    <n v="11000"/>
    <n v="34000"/>
    <x v="0"/>
    <n v="35"/>
    <x v="0"/>
    <s v="Passa"/>
    <s v="Passa"/>
    <n v="35000"/>
    <n v="0"/>
  </r>
  <r>
    <s v="Ativo"/>
    <s v="Stannis Redwyne"/>
    <s v="000.000.216-00"/>
    <n v="34"/>
    <s v="19/08/1992"/>
    <s v="Jardim de Cima"/>
    <s v="Campina"/>
    <n v="5100"/>
    <n v="49000"/>
    <x v="0"/>
    <n v="1"/>
    <x v="1"/>
    <s v="Passa"/>
    <s v="Passa"/>
    <n v="48000"/>
    <n v="51840"/>
  </r>
  <r>
    <s v="Ativo"/>
    <s v="Stannis Seawrth"/>
    <s v="000.000.316-00"/>
    <n v="64"/>
    <s v="28/08/1962"/>
    <s v="Pyke"/>
    <s v="Ilhas De Ferro"/>
    <n v="8800"/>
    <n v="76000"/>
    <x v="0"/>
    <n v="44"/>
    <x v="0"/>
    <s v="Passa"/>
    <s v="Passa"/>
    <n v="27000"/>
    <n v="29160.000000000004"/>
  </r>
  <r>
    <s v="Ativo"/>
    <s v="Stannis Wwesterosrling"/>
    <s v="000.000.071-00"/>
    <m/>
    <s v="03/11/1995"/>
    <s v="Lannisport"/>
    <s v="Westeros"/>
    <n v="9000"/>
    <n v="40000"/>
    <x v="0"/>
    <n v="16"/>
    <x v="2"/>
    <s v="Passa"/>
    <s v="Passa"/>
    <n v="98500"/>
    <n v="106380"/>
  </r>
  <r>
    <s v="Ativo"/>
    <s v="Stark"/>
    <s v="000.000.021-00"/>
    <n v="45"/>
    <s v=".22/2.0/1980"/>
    <s v="Braavos"/>
    <s v="Essos"/>
    <n v="16200"/>
    <n v="16000"/>
    <x v="1"/>
    <n v="44"/>
    <x v="0"/>
    <s v="Negada"/>
    <s v="Passa"/>
    <n v="59000"/>
    <n v="0"/>
  </r>
  <r>
    <s v="Inativo"/>
    <s v="Then Baelish"/>
    <s v="000.000.380-00"/>
    <n v="36"/>
    <s v="10/02/1990"/>
    <s v="Atalaia da Água Cinzenta"/>
    <s v="Gargalo"/>
    <n v="27600"/>
    <m/>
    <x v="1"/>
    <n v="28"/>
    <x v="0"/>
    <s v="Negada"/>
    <s v="Passa"/>
    <n v="13000"/>
    <n v="0"/>
  </r>
  <r>
    <s v="Ativo"/>
    <s v="Then Barathen"/>
    <s v="000.000.375-00"/>
    <n v="26"/>
    <s v="06/04/2000"/>
    <s v="Dorne"/>
    <s v="Dorne"/>
    <n v="22900"/>
    <m/>
    <x v="0"/>
    <n v="36"/>
    <x v="0"/>
    <s v="Passa"/>
    <s v="Passa"/>
    <n v="89000"/>
    <n v="96120"/>
  </r>
  <r>
    <s v="Ativo"/>
    <s v="Then Frey"/>
    <s v="000.000.123-00"/>
    <n v="19"/>
    <s v="05/07/2007"/>
    <s v="Monte Chifre"/>
    <s v="Campina"/>
    <n v="7200"/>
    <n v="76500"/>
    <x v="0"/>
    <n v="30"/>
    <x v="0"/>
    <s v="Passa"/>
    <s v="Passa"/>
    <n v="18500"/>
    <n v="19980"/>
  </r>
  <r>
    <s v="Ativo"/>
    <s v="Then Karstark"/>
    <s v="000.000.296-00"/>
    <n v="71"/>
    <s v="08/04/1955"/>
    <s v="Braavos"/>
    <s v="Essos"/>
    <n v="29200"/>
    <m/>
    <x v="2"/>
    <m/>
    <x v="1"/>
    <s v="Passa"/>
    <s v="Passa"/>
    <m/>
    <n v="0"/>
  </r>
  <r>
    <s v="Inativo"/>
    <s v="Then Tarth"/>
    <s v="000.000.289-00"/>
    <n v="74"/>
    <s v="20/03/1952"/>
    <s v="Lannisport"/>
    <s v="Westeros"/>
    <n v="7100"/>
    <n v="42500"/>
    <x v="1"/>
    <n v="3"/>
    <x v="1"/>
    <s v="Passa"/>
    <s v="Passa"/>
    <n v="8000"/>
    <n v="0"/>
  </r>
  <r>
    <s v="Ativo"/>
    <s v="Thrs  Baelish"/>
    <s v="000.000.011-00"/>
    <n v="53"/>
    <s v="28/05/1973"/>
    <s v="Meereen"/>
    <s v="Essos"/>
    <n v="27800"/>
    <m/>
    <x v="1"/>
    <n v="31"/>
    <x v="0"/>
    <s v="Negada"/>
    <s v="Passa"/>
    <n v="97500"/>
    <n v="0"/>
  </r>
  <r>
    <s v="Ativo"/>
    <s v="Thrs  Frey"/>
    <s v="000.000.113-00"/>
    <n v="55"/>
    <s v="03/10/1970"/>
    <s v="Jardim de Cima"/>
    <s v="Campina"/>
    <n v="17400"/>
    <n v="68000"/>
    <x v="0"/>
    <n v="40"/>
    <x v="0"/>
    <s v="Passa"/>
    <s v="Passa"/>
    <n v="49500"/>
    <n v="53460"/>
  </r>
  <r>
    <s v="Ativo"/>
    <s v="Thrs Clegane"/>
    <s v="000.000.141-00"/>
    <n v="28"/>
    <s v="17/07/1998"/>
    <s v="Lannisport"/>
    <s v="Westeros"/>
    <n v="13400"/>
    <n v="71000"/>
    <x v="0"/>
    <n v="32"/>
    <x v="0"/>
    <s v="Passa"/>
    <s v="Passa"/>
    <n v="29500"/>
    <n v="31860.000000000004"/>
  </r>
  <r>
    <s v="Ativo"/>
    <s v="Thrs Crakehall"/>
    <s v="000.000.193-00"/>
    <n v="74"/>
    <s v="17/05/1952"/>
    <s v="Porto Real"/>
    <s v="Terras da Coroa"/>
    <n v="20700"/>
    <n v="1500"/>
    <x v="1"/>
    <n v="33"/>
    <x v="0"/>
    <s v="Negada"/>
    <s v="Passa"/>
    <n v="14000"/>
    <n v="0"/>
  </r>
  <r>
    <s v="Ativo"/>
    <s v="Thrs Greyjy"/>
    <s v="000.000.043-00"/>
    <n v="27"/>
    <s v="05/06/1999"/>
    <s v="Vilavelha"/>
    <s v="Campina"/>
    <n v="10700"/>
    <n v="74000"/>
    <x v="0"/>
    <n v="40"/>
    <x v="0"/>
    <s v="Passa"/>
    <s v="Passa"/>
    <n v="34500"/>
    <n v="37260"/>
  </r>
  <r>
    <s v="Ativo"/>
    <s v="Thrs Greyjy"/>
    <s v="000.000.374-00"/>
    <n v="67"/>
    <s v="23/01/1959"/>
    <s v="Atalaia da Água Cinzenta"/>
    <s v="Gargalo"/>
    <n v="6400"/>
    <n v="45500"/>
    <x v="0"/>
    <n v="30"/>
    <x v="0"/>
    <s v="Passa"/>
    <s v="Passa"/>
    <n v="17500"/>
    <n v="18900"/>
  </r>
  <r>
    <s v="Inativo"/>
    <s v="Thrs Hrnwd"/>
    <s v="000.000.245-00"/>
    <n v="65"/>
    <s v="16/10/1960"/>
    <s v="Castelo Negro"/>
    <s v="Norte"/>
    <n v="19800"/>
    <n v="5000"/>
    <x v="2"/>
    <m/>
    <x v="1"/>
    <s v="Passa"/>
    <s v="Passa"/>
    <m/>
    <n v="0"/>
  </r>
  <r>
    <s v="Inativo"/>
    <s v="Thrs Hrnwd"/>
    <s v="000.000.002-45"/>
    <n v="65"/>
    <s v="22/01/1900"/>
    <s v="Castelo Negro"/>
    <s v="Norte"/>
    <n v="19800"/>
    <n v="5000"/>
    <x v="0"/>
    <n v="8"/>
    <x v="1"/>
    <s v="Passa"/>
    <s v="Passa"/>
    <n v="11000"/>
    <n v="0"/>
  </r>
  <r>
    <s v="Ativo"/>
    <s v="Thrs Karstark"/>
    <s v="000.000.012-00"/>
    <n v="53"/>
    <s v="28/11/1972"/>
    <s v="Atalaia da Água Cinzenta"/>
    <s v="Gargalo"/>
    <n v="22700"/>
    <n v="62500"/>
    <x v="0"/>
    <n v="31"/>
    <x v="0"/>
    <s v="Passa"/>
    <s v="Passa"/>
    <n v="83500"/>
    <n v="90180"/>
  </r>
  <r>
    <s v="Ativo"/>
    <s v="Thrs Payne"/>
    <s v="000.000.077-00"/>
    <m/>
    <s v="17/10/1985"/>
    <s v="Harrenhal"/>
    <s v="Terras Fluviais"/>
    <n v="14000"/>
    <n v="22000"/>
    <x v="0"/>
    <n v="11"/>
    <x v="2"/>
    <s v="Passa"/>
    <s v="Passa"/>
    <n v="28500"/>
    <n v="30780.000000000004"/>
  </r>
  <r>
    <s v="Ativo"/>
    <s v="Thrs Tarth"/>
    <s v="000.000.239-00"/>
    <n v="39"/>
    <s v="24/11/1986"/>
    <s v="Pyke"/>
    <s v="Ilhas De Ferro"/>
    <n v="13200"/>
    <n v="71000"/>
    <x v="0"/>
    <n v="10"/>
    <x v="1"/>
    <s v="Passa"/>
    <s v="Passa"/>
    <n v="91500"/>
    <n v="98820"/>
  </r>
  <r>
    <s v="Ativo"/>
    <s v="Thrs Tarth"/>
    <s v="000.000.280-00"/>
    <n v="41"/>
    <s v="19/04/1985"/>
    <s v="Cole Foss"/>
    <s v="Norte"/>
    <n v="26500"/>
    <n v="60500"/>
    <x v="2"/>
    <m/>
    <x v="1"/>
    <s v="Passa"/>
    <s v="Passa"/>
    <m/>
    <n v="0"/>
  </r>
  <r>
    <s v="Ativo"/>
    <s v="Thrs Westerling"/>
    <s v="000.000.257-00"/>
    <n v="27"/>
    <s v="23/12/1998"/>
    <s v="Jardim de Cima"/>
    <s v="Campina"/>
    <n v="30000"/>
    <m/>
    <x v="2"/>
    <m/>
    <x v="1"/>
    <s v="Passa"/>
    <s v="Passa"/>
    <m/>
    <n v="0"/>
  </r>
  <r>
    <s v="Ativo"/>
    <s v="Thrs Yrnwd"/>
    <s v="000.000.201-00"/>
    <m/>
    <s v="23/12/1970"/>
    <s v="Pyke"/>
    <s v="Ilhas De Ferro"/>
    <n v="20200"/>
    <n v="65000"/>
    <x v="1"/>
    <n v="29"/>
    <x v="0"/>
    <s v="Negada"/>
    <s v="Negada"/>
    <n v="12000"/>
    <n v="0"/>
  </r>
  <r>
    <s v="Ativo"/>
    <s v="Thrs Yrnwd"/>
    <s v="000.000.104-00"/>
    <n v="51"/>
    <s v="27/01/1975"/>
    <s v="Dorne"/>
    <s v="Dorne"/>
    <n v="26000"/>
    <m/>
    <x v="0"/>
    <n v="19"/>
    <x v="2"/>
    <s v="Passa"/>
    <s v="Passa"/>
    <n v="90000"/>
    <n v="97200"/>
  </r>
  <r>
    <s v="Ativo"/>
    <s v="Trmund  Cerwyn"/>
    <s v="000.000.039-00"/>
    <n v="33"/>
    <s v="27/06/1993"/>
    <s v="Meereen"/>
    <s v="Essos"/>
    <n v="28700"/>
    <m/>
    <x v="2"/>
    <m/>
    <x v="1"/>
    <s v="Passa"/>
    <s v="Passa"/>
    <m/>
    <n v="0"/>
  </r>
  <r>
    <s v="Inativo"/>
    <s v="Trmund Glver"/>
    <s v="000.000.087-00"/>
    <n v="63"/>
    <s v="14/12/1962"/>
    <s v="Pyke"/>
    <s v="Ilhas De Ferro"/>
    <n v="20000"/>
    <n v="4000"/>
    <x v="0"/>
    <n v="30"/>
    <x v="0"/>
    <s v="Passa"/>
    <s v="Passa"/>
    <n v="38500"/>
    <n v="0"/>
  </r>
  <r>
    <s v="Inativo"/>
    <s v="Trmund Greyjy"/>
    <s v="000.000.009-00"/>
    <n v="58"/>
    <s v="04/02/1968"/>
    <s v="Pyke"/>
    <s v="Ilhas De Ferro"/>
    <n v="12500"/>
    <n v="72500"/>
    <x v="0"/>
    <n v="32"/>
    <x v="0"/>
    <s v="Passa"/>
    <s v="Passa"/>
    <n v="97000"/>
    <n v="0"/>
  </r>
  <r>
    <s v="Ativo"/>
    <s v="Trmund Karstark"/>
    <s v="000.000.284-00"/>
    <n v="42"/>
    <s v="12/12/1983"/>
    <s v="Castelo Negro"/>
    <s v="Norte"/>
    <n v="20400"/>
    <n v="3500"/>
    <x v="2"/>
    <n v="25"/>
    <x v="2"/>
    <s v="Passa"/>
    <s v="Passa"/>
    <n v="35000"/>
    <n v="37800"/>
  </r>
  <r>
    <s v="Ativo"/>
    <s v="Trmund Ryce"/>
    <s v="000.000.297-00"/>
    <n v="55"/>
    <s v="08/11/1970"/>
    <s v="Ponta Tempestade"/>
    <s v="Terras Da Tempestade"/>
    <n v="27500"/>
    <m/>
    <x v="0"/>
    <n v="20"/>
    <x v="2"/>
    <s v="Passa"/>
    <s v="Passa"/>
    <n v="3100"/>
    <n v="3348"/>
  </r>
  <r>
    <s v="Ativo"/>
    <s v="Trmund Tyrell"/>
    <s v="000.000.378-00"/>
    <n v="34"/>
    <s v="22/05/1992"/>
    <s v="Dorne"/>
    <s v="Dorne"/>
    <n v="28900"/>
    <m/>
    <x v="2"/>
    <m/>
    <x v="1"/>
    <s v="Passa"/>
    <s v="Passa"/>
    <m/>
    <n v="0"/>
  </r>
  <r>
    <s v="Ativo"/>
    <s v="Trmund Yrnwd"/>
    <s v="000.000.187-00"/>
    <n v="39"/>
    <s v="14/07/1987"/>
    <s v="Correrrio"/>
    <s v="Terras Fluviais"/>
    <n v="8700"/>
    <n v="40500"/>
    <x v="0"/>
    <n v="35"/>
    <x v="0"/>
    <s v="Passa"/>
    <s v="Passa"/>
    <n v="53000"/>
    <n v="57240.000000000007"/>
  </r>
  <r>
    <s v="Inativo"/>
    <s v="Tyrin Blackwd"/>
    <s v="000.000.100-00"/>
    <n v="67"/>
    <s v="05/04/1959"/>
    <s v="Atalaia da Água Cinzenta"/>
    <s v="Gargalo"/>
    <n v="15200"/>
    <n v="17500"/>
    <x v="2"/>
    <n v="35"/>
    <x v="0"/>
    <s v="Passa"/>
    <s v="Passa"/>
    <m/>
    <n v="0"/>
  </r>
  <r>
    <s v="Inativo"/>
    <s v="Tyrin Clegane"/>
    <s v="000.000.281-00"/>
    <n v="51"/>
    <s v="15/07/1975"/>
    <s v="Monte Chifre"/>
    <s v="Campina"/>
    <n v="11400"/>
    <n v="30500"/>
    <x v="0"/>
    <n v="34"/>
    <x v="0"/>
    <s v="Passa"/>
    <s v="Passa"/>
    <n v="87500"/>
    <n v="0"/>
  </r>
  <r>
    <s v="Ativo"/>
    <s v="Tyrin Karstark"/>
    <s v="000.000.038-00"/>
    <n v="41"/>
    <s v="11/06/1984"/>
    <s v="Lannisport"/>
    <s v="Westeros"/>
    <n v="28600"/>
    <n v="59000"/>
    <x v="2"/>
    <m/>
    <x v="1"/>
    <s v="Passa"/>
    <s v="Passa"/>
    <m/>
    <n v="0"/>
  </r>
  <r>
    <s v="Ativo"/>
    <s v="Tyrin Lannister"/>
    <s v="000.000.028-00"/>
    <n v="24"/>
    <s v="02/08/2002"/>
    <s v="Solar do Entardecer"/>
    <s v="Terras Da Tempestade"/>
    <n v="16900"/>
    <n v="14500"/>
    <x v="1"/>
    <n v="9"/>
    <x v="1"/>
    <s v="Passa"/>
    <s v="Passa"/>
    <n v="17500"/>
    <n v="18900"/>
  </r>
  <r>
    <s v="Ativo"/>
    <s v="Tyrin Snw"/>
    <s v="000.000.279-00"/>
    <n v="71"/>
    <s v="01/05/1955"/>
    <s v="Monte Chifre"/>
    <s v="Campina"/>
    <n v="24100"/>
    <m/>
    <x v="1"/>
    <n v="4"/>
    <x v="1"/>
    <s v="Passa"/>
    <s v="Passa"/>
    <n v="54500"/>
    <n v="58860.000000000007"/>
  </r>
  <r>
    <s v="Ativo"/>
    <s v="Tyrin Tyrell"/>
    <s v="000.000.190-00"/>
    <n v="42"/>
    <s v="02/12/1984"/>
    <s v="Ilha dos Ursos"/>
    <s v="Norte"/>
    <n v="18500"/>
    <n v="7500"/>
    <x v="0"/>
    <n v="12"/>
    <x v="2"/>
    <s v="Passa"/>
    <s v="Passa"/>
    <n v="73000"/>
    <n v="78840"/>
  </r>
  <r>
    <s v="Ativo"/>
    <s v="Tyrin Westerling"/>
    <s v="000.000.290-00"/>
    <n v="50"/>
    <s v="N/A"/>
    <s v="Correrrio"/>
    <s v="Terras Fluviais"/>
    <n v="2310000"/>
    <m/>
    <x v="2"/>
    <m/>
    <x v="1"/>
    <s v="Passa"/>
    <s v="Passa"/>
    <m/>
    <n v="0"/>
  </r>
  <r>
    <s v="Inativo"/>
    <s v="Varys  Blackwd"/>
    <s v="000.000.267-00"/>
    <n v="54"/>
    <s v="03/06/1972"/>
    <s v="Atalaia da Água Cinzenta"/>
    <s v="Gargalo"/>
    <n v="3900"/>
    <n v="50500"/>
    <x v="0"/>
    <n v="16"/>
    <x v="2"/>
    <s v="Passa"/>
    <s v="Passa"/>
    <n v="41500"/>
    <n v="0"/>
  </r>
  <r>
    <s v="Ativo"/>
    <s v="Varys  Stark"/>
    <s v="000.000.377-00"/>
    <n v="23"/>
    <s v="11/06/2002"/>
    <s v="Braavos"/>
    <s v="Essos"/>
    <n v="2600"/>
    <n v="55000"/>
    <x v="0"/>
    <n v="11"/>
    <x v="2"/>
    <s v="Passa"/>
    <s v="Passa"/>
    <n v="33500"/>
    <n v="36180"/>
  </r>
  <r>
    <s v="Ativo"/>
    <s v="Varys Arryn"/>
    <s v="000.000.097-00"/>
    <n v="56"/>
    <s v="28/08/1970"/>
    <s v="Vilavelha"/>
    <s v="Campina"/>
    <n v="5400"/>
    <n v="48500"/>
    <x v="0"/>
    <n v="6"/>
    <x v="1"/>
    <s v="Passa"/>
    <s v="Passa"/>
    <n v="62500"/>
    <n v="67500"/>
  </r>
  <r>
    <s v="Ativo"/>
    <s v="Varys Blackwd"/>
    <s v="000.000.373-00"/>
    <n v="47"/>
    <s v="N/A"/>
    <s v="Braavos"/>
    <s v="Essos"/>
    <n v="11600"/>
    <n v="29500"/>
    <x v="2"/>
    <m/>
    <x v="1"/>
    <s v="Passa"/>
    <s v="Passa"/>
    <m/>
    <n v="0"/>
  </r>
  <r>
    <s v="Ativo"/>
    <s v="Varys Bltn"/>
    <s v="000.000.272-00"/>
    <n v="56"/>
    <s v="22/05/1970"/>
    <s v="Cole Foss"/>
    <s v="Norte"/>
    <n v="14100"/>
    <n v="22000"/>
    <x v="0"/>
    <n v="23"/>
    <x v="2"/>
    <s v="Passa"/>
    <s v="Passa"/>
    <n v="90000"/>
    <n v="97200"/>
  </r>
  <r>
    <s v="Ativo"/>
    <s v="Varys Bracken"/>
    <s v="000.000.215-00"/>
    <n v="28"/>
    <s v="04/02/1998"/>
    <s v="Porto Real"/>
    <s v="Terras da Coroa"/>
    <n v="2000"/>
    <n v="55500"/>
    <x v="0"/>
    <n v="32"/>
    <x v="0"/>
    <s v="Passa"/>
    <s v="Passa"/>
    <n v="91500"/>
    <n v="98820"/>
  </r>
  <r>
    <s v="Ativo"/>
    <s v="Varys Flrent"/>
    <s v="000.000.264-00"/>
    <n v="57"/>
    <s v="04/02/1969"/>
    <s v="Harrenhal"/>
    <s v="Terras Fluviais"/>
    <n v="3200"/>
    <n v="54000"/>
    <x v="0"/>
    <n v="44"/>
    <x v="0"/>
    <s v="Passa"/>
    <s v="Passa"/>
    <n v="18000"/>
    <n v="19440"/>
  </r>
  <r>
    <s v="Ativo"/>
    <s v="Varys Lannister"/>
    <s v="000.000.367-00"/>
    <n v="67"/>
    <s v="11/08/1958"/>
    <s v="Pyke"/>
    <s v="Ilhas De Ferro"/>
    <n v="21600"/>
    <m/>
    <x v="0"/>
    <n v="20"/>
    <x v="2"/>
    <s v="Passa"/>
    <s v="Passa"/>
    <n v="42000"/>
    <n v="45360"/>
  </r>
  <r>
    <s v="Ativo"/>
    <s v="Varys Lannister"/>
    <s v="000.000.010-00"/>
    <n v="60"/>
    <s v="11/08/1965"/>
    <s v="Ninho da Águia"/>
    <s v="Vale"/>
    <n v="22600"/>
    <m/>
    <x v="0"/>
    <n v="29"/>
    <x v="0"/>
    <s v="Passa"/>
    <s v="Passa"/>
    <n v="92500"/>
    <n v="99900"/>
  </r>
  <r>
    <s v="Inativo"/>
    <s v="Varys Tallhart"/>
    <s v="N/A"/>
    <n v="61"/>
    <s v="09/07/1965"/>
    <s v="Correrrio"/>
    <s v="Terras Fluviais"/>
    <n v="4100"/>
    <n v="50000"/>
    <x v="0"/>
    <n v="40"/>
    <x v="0"/>
    <s v="Passa"/>
    <s v="Passa"/>
    <n v="46500"/>
    <n v="0"/>
  </r>
  <r>
    <s v="Ativo"/>
    <s v="Varys Targaryen"/>
    <s v="000.000.234-00"/>
    <n v="46"/>
    <s v="12/08/1979"/>
    <s v="Meereen"/>
    <s v="Essos"/>
    <n v="3200"/>
    <n v="54000"/>
    <x v="2"/>
    <m/>
    <x v="1"/>
    <s v="Passa"/>
    <s v="Passa"/>
    <m/>
    <n v="0"/>
  </r>
  <r>
    <s v="Ativo"/>
    <s v="Viserys  Umber"/>
    <s v="000.000.155-00"/>
    <m/>
    <s v="28/05/2007"/>
    <s v="Jardim de Cima"/>
    <s v="Campina"/>
    <n v="18000"/>
    <n v="9000"/>
    <x v="2"/>
    <m/>
    <x v="1"/>
    <s v="Passa"/>
    <s v="Passa"/>
    <m/>
    <n v="0"/>
  </r>
  <r>
    <s v="Inativo"/>
    <s v="Viserys Barathen"/>
    <s v="000.000.186-00"/>
    <n v="33"/>
    <s v="17/12/1992"/>
    <s v="Winterfell"/>
    <s v="Norte"/>
    <n v="25700"/>
    <m/>
    <x v="0"/>
    <n v="42"/>
    <x v="0"/>
    <s v="Passa"/>
    <s v="Passa"/>
    <n v="77000"/>
    <n v="0"/>
  </r>
  <r>
    <s v="Inativo"/>
    <s v="Viserys Flrent"/>
    <s v="000.000.129-00"/>
    <n v="59"/>
    <s v="23/03/1967"/>
    <s v="Meereen"/>
    <s v="Essos"/>
    <n v="15200"/>
    <n v="69000"/>
    <x v="0"/>
    <n v="20"/>
    <x v="2"/>
    <s v="Passa"/>
    <s v="Passa"/>
    <n v="69000"/>
    <n v="0"/>
  </r>
  <r>
    <s v="N/A"/>
    <s v="Viserys Hightwer"/>
    <s v="000.000.002-62"/>
    <n v="61"/>
    <s v="02/04/1965"/>
    <s v="Monte Chifre"/>
    <s v="Campina"/>
    <n v="9100"/>
    <n v="75500"/>
    <x v="0"/>
    <n v="16"/>
    <x v="2"/>
    <s v="Passa"/>
    <s v="Passa"/>
    <n v="88000"/>
    <n v="0"/>
  </r>
  <r>
    <s v="N/A"/>
    <s v="Viserys Hightwer"/>
    <s v="000.000.080-00"/>
    <n v="54"/>
    <s v="14/04/1972"/>
    <s v="Monte Chifre"/>
    <s v="Campina"/>
    <n v="20800"/>
    <n v="1000"/>
    <x v="0"/>
    <n v="3"/>
    <x v="1"/>
    <s v="Passa"/>
    <s v="Passa"/>
    <n v="50500"/>
    <n v="0"/>
  </r>
  <r>
    <s v="Inativo"/>
    <s v="Viserys Seawrth"/>
    <s v="000.000.024-00"/>
    <n v="61"/>
    <s v="17/10/1964"/>
    <s v="Meereen"/>
    <s v="Essos"/>
    <n v="23000"/>
    <m/>
    <x v="0"/>
    <n v="27"/>
    <x v="0"/>
    <s v="Passa"/>
    <s v="Passa"/>
    <n v="99500"/>
    <n v="0"/>
  </r>
  <r>
    <s v="Ativo"/>
    <s v="Yara  Marbrand"/>
    <s v="000.000.266-00"/>
    <n v="70"/>
    <s v="19/03/1956"/>
    <s v="Atalaia da Água Cinzenta"/>
    <s v="Gargalo"/>
    <n v="9100"/>
    <n v="40000"/>
    <x v="0"/>
    <n v="13"/>
    <x v="2"/>
    <s v="Passa"/>
    <s v="Passa"/>
    <n v="22500"/>
    <n v="24300"/>
  </r>
  <r>
    <s v="Ativo"/>
    <s v="Yara Baelish"/>
    <s v="000.000.344-00"/>
    <n v="64"/>
    <s v="09/07/1962"/>
    <s v="Solar do Entardecer"/>
    <s v="Terras Da Tempestade"/>
    <n v="24300"/>
    <m/>
    <x v="1"/>
    <n v="14"/>
    <x v="2"/>
    <s v="Passa"/>
    <s v="Passa"/>
    <n v="49500"/>
    <n v="53460"/>
  </r>
  <r>
    <s v="Ativo"/>
    <s v="Yara Mallister"/>
    <s v="000.000.134-00"/>
    <n v="44"/>
    <s v="02/11/1981"/>
    <s v="Lannisport"/>
    <s v="Westeros"/>
    <n v="20600"/>
    <n v="2000"/>
    <x v="0"/>
    <n v="8"/>
    <x v="1"/>
    <s v="Passa"/>
    <s v="Passa"/>
    <n v="4000"/>
    <n v="4320"/>
  </r>
  <r>
    <s v="Inativo"/>
    <s v="Yara Payne"/>
    <s v="000.000.250-00"/>
    <m/>
    <s v="15/01/2004"/>
    <s v="Cole Foss"/>
    <s v="Norte"/>
    <n v="2100"/>
    <n v="55000"/>
    <x v="2"/>
    <m/>
    <x v="1"/>
    <s v="Passa"/>
    <s v="Passa"/>
    <m/>
    <n v="0"/>
  </r>
  <r>
    <s v="Ativo"/>
    <s v="Yara Ryce"/>
    <s v="000.000.320-00"/>
    <n v="68"/>
    <s v="08/12/1957"/>
    <s v="Castelo Negro"/>
    <s v="Norte"/>
    <n v="11500"/>
    <n v="73500"/>
    <x v="2"/>
    <m/>
    <x v="1"/>
    <s v="Passa"/>
    <s v="Passa"/>
    <m/>
    <n v="0"/>
  </r>
  <r>
    <s v="Ativo"/>
    <s v="Yara Ryce"/>
    <s v="000.000.277-00"/>
    <n v="65"/>
    <s v="06/04/1961"/>
    <s v="Ninho da Águia"/>
    <s v="Vale"/>
    <n v="12700"/>
    <n v="25000"/>
    <x v="2"/>
    <m/>
    <x v="1"/>
    <s v="Passa"/>
    <s v="Passa"/>
    <m/>
    <n v="0"/>
  </r>
  <r>
    <s v="Inativo"/>
    <s v="Yara Tallhart"/>
    <s v="000.000.064-00"/>
    <n v="57"/>
    <s v="03/01/1969"/>
    <s v="Correrrio"/>
    <s v="Terras Fluviais"/>
    <n v="3400"/>
    <n v="52500"/>
    <x v="1"/>
    <n v="0"/>
    <x v="1"/>
    <s v="Passa"/>
    <s v="Negada"/>
    <n v="66000"/>
    <n v="0"/>
  </r>
  <r>
    <s v="Inativo"/>
    <s v="Yara Targaryen"/>
    <s v="000.000.059-00"/>
    <n v="42"/>
    <s v="05/08/1984"/>
    <s v="Pyke"/>
    <s v="Ilhas De Ferro"/>
    <n v="18200"/>
    <n v="8500"/>
    <x v="2"/>
    <n v="35"/>
    <x v="0"/>
    <s v="Passa"/>
    <s v="Passa"/>
    <n v="23500"/>
    <n v="0"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  <r>
    <m/>
    <m/>
    <m/>
    <m/>
    <m/>
    <m/>
    <m/>
    <m/>
    <m/>
    <x v="3"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E2AF2-8067-4318-B6AA-A60F3ED0CDF8}" name="PivotTable4" cacheId="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M5:N9" firstHeaderRow="1" firstDataRow="1" firstDataCol="1"/>
  <pivotFields count="1">
    <pivotField axis="axisRow" dataField="1" compact="0" outline="0" showAll="0">
      <items count="6">
        <item m="1" x="4"/>
        <item x="2"/>
        <item x="0"/>
        <item x="1"/>
        <item h="1" x="3"/>
        <item t="default"/>
      </items>
    </pivotField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flag_inadimplente" fld="0" subtotal="count" showDataAs="percentOfCo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922FA-F391-4AE8-B8B5-24106517AA57}" name="PivotTable2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J5:K9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m="1" x="4"/>
        <item x="2"/>
        <item x="0"/>
        <item x="1"/>
        <item x="3"/>
        <item t="default"/>
      </items>
    </pivotField>
    <pivotField compact="0" outline="0" showAll="0"/>
    <pivotField axis="axisRow" dataField="1" compact="0" outline="0" showAll="0" sortType="a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nivel_risco" fld="11" subtotal="count" baseField="0" baseItem="0"/>
  </dataFields>
  <formats count="1">
    <format dxfId="25">
      <pivotArea field="9" type="button" dataOnly="0" labelOnly="1" outline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8179E-9650-4F3C-9B9B-AE052FBAADF3}" name="PivotTable6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1:K234" firstHeaderRow="1" firstDataRow="1" firstDataCol="1"/>
  <pivotFields count="8">
    <pivotField axis="axisRow" compact="0" outline="0" showAll="0">
      <items count="214">
        <item x="62"/>
        <item x="135"/>
        <item x="212"/>
        <item x="85"/>
        <item x="93"/>
        <item x="80"/>
        <item x="125"/>
        <item x="94"/>
        <item x="57"/>
        <item x="89"/>
        <item x="73"/>
        <item x="176"/>
        <item x="181"/>
        <item x="49"/>
        <item x="7"/>
        <item x="87"/>
        <item x="184"/>
        <item x="189"/>
        <item x="34"/>
        <item x="30"/>
        <item x="183"/>
        <item x="153"/>
        <item x="6"/>
        <item x="45"/>
        <item x="209"/>
        <item x="182"/>
        <item x="152"/>
        <item x="78"/>
        <item x="82"/>
        <item x="79"/>
        <item x="188"/>
        <item x="44"/>
        <item x="139"/>
        <item x="4"/>
        <item x="46"/>
        <item x="158"/>
        <item x="75"/>
        <item x="132"/>
        <item x="61"/>
        <item x="32"/>
        <item x="2"/>
        <item x="131"/>
        <item x="18"/>
        <item x="171"/>
        <item x="42"/>
        <item x="204"/>
        <item x="194"/>
        <item x="111"/>
        <item x="195"/>
        <item x="211"/>
        <item x="77"/>
        <item x="38"/>
        <item x="154"/>
        <item x="41"/>
        <item x="159"/>
        <item x="98"/>
        <item x="67"/>
        <item x="104"/>
        <item x="117"/>
        <item x="64"/>
        <item x="69"/>
        <item x="121"/>
        <item x="148"/>
        <item x="40"/>
        <item x="193"/>
        <item x="5"/>
        <item x="55"/>
        <item x="39"/>
        <item x="108"/>
        <item x="126"/>
        <item x="83"/>
        <item x="27"/>
        <item x="37"/>
        <item x="113"/>
        <item x="120"/>
        <item x="192"/>
        <item x="191"/>
        <item x="179"/>
        <item x="124"/>
        <item x="172"/>
        <item x="127"/>
        <item x="105"/>
        <item x="198"/>
        <item x="84"/>
        <item x="17"/>
        <item x="92"/>
        <item x="56"/>
        <item x="163"/>
        <item x="91"/>
        <item x="103"/>
        <item x="145"/>
        <item x="138"/>
        <item x="130"/>
        <item x="143"/>
        <item x="8"/>
        <item x="66"/>
        <item x="187"/>
        <item x="205"/>
        <item x="97"/>
        <item x="81"/>
        <item x="70"/>
        <item x="52"/>
        <item x="14"/>
        <item x="141"/>
        <item x="13"/>
        <item x="147"/>
        <item x="146"/>
        <item x="3"/>
        <item x="9"/>
        <item x="206"/>
        <item x="151"/>
        <item x="180"/>
        <item x="129"/>
        <item x="36"/>
        <item x="20"/>
        <item x="164"/>
        <item x="29"/>
        <item x="95"/>
        <item x="185"/>
        <item x="28"/>
        <item x="167"/>
        <item x="47"/>
        <item x="31"/>
        <item x="88"/>
        <item x="115"/>
        <item x="15"/>
        <item x="35"/>
        <item x="199"/>
        <item x="19"/>
        <item x="112"/>
        <item x="107"/>
        <item x="157"/>
        <item x="50"/>
        <item x="202"/>
        <item x="149"/>
        <item x="170"/>
        <item x="175"/>
        <item x="72"/>
        <item x="101"/>
        <item x="174"/>
        <item x="173"/>
        <item x="186"/>
        <item x="59"/>
        <item x="16"/>
        <item x="11"/>
        <item x="123"/>
        <item x="58"/>
        <item x="22"/>
        <item x="122"/>
        <item x="71"/>
        <item x="86"/>
        <item x="76"/>
        <item x="128"/>
        <item x="53"/>
        <item x="165"/>
        <item x="166"/>
        <item x="116"/>
        <item x="102"/>
        <item x="99"/>
        <item x="1"/>
        <item x="140"/>
        <item x="74"/>
        <item x="207"/>
        <item x="24"/>
        <item x="137"/>
        <item x="23"/>
        <item x="43"/>
        <item x="118"/>
        <item x="119"/>
        <item x="144"/>
        <item x="12"/>
        <item x="133"/>
        <item x="210"/>
        <item x="177"/>
        <item x="200"/>
        <item x="162"/>
        <item x="168"/>
        <item x="136"/>
        <item x="48"/>
        <item x="10"/>
        <item x="114"/>
        <item x="203"/>
        <item x="196"/>
        <item x="197"/>
        <item x="51"/>
        <item x="156"/>
        <item x="63"/>
        <item x="150"/>
        <item x="0"/>
        <item x="178"/>
        <item x="110"/>
        <item x="201"/>
        <item x="60"/>
        <item x="21"/>
        <item x="106"/>
        <item x="160"/>
        <item x="33"/>
        <item x="54"/>
        <item x="142"/>
        <item x="65"/>
        <item x="134"/>
        <item x="96"/>
        <item x="109"/>
        <item x="90"/>
        <item x="161"/>
        <item x="190"/>
        <item x="100"/>
        <item x="68"/>
        <item x="155"/>
        <item x="208"/>
        <item x="169"/>
        <item x="25"/>
        <item h="1" x="2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2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 t="grand">
      <x/>
    </i>
  </rowItems>
  <colItems count="1">
    <i/>
  </colItems>
  <dataFields count="1">
    <dataField name="Average of valor_solicitado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0D2F9F-919C-45EC-A304-54A65BADC4B3}" name="Table4" displayName="Table4" ref="A1:G19" totalsRowShown="0" headerRowDxfId="15" dataDxfId="14">
  <autoFilter ref="A1:G19" xr:uid="{CF0D2F9F-919C-45EC-A304-54A65BADC4B3}"/>
  <tableColumns count="7">
    <tableColumn id="1" xr3:uid="{0656A9B5-6AA1-4D28-8C16-E949DA8E1F47}" name="Coluna analisada" dataDxfId="13"/>
    <tableColumn id="2" xr3:uid="{2BA5E149-3DDA-4609-AD2D-F69CE6797C55}" name="Problema encontrado" dataDxfId="12"/>
    <tableColumn id="3" xr3:uid="{925CFA61-23C1-408A-AD18-FA5708BC93AB}" name="Exemplo encontrado" dataDxfId="11"/>
    <tableColumn id="4" xr3:uid="{C93813DE-9D4E-4361-8F38-5D8E7D2C608F}" name="Tipo de problema" dataDxfId="10"/>
    <tableColumn id="5" xr3:uid="{85407D81-FA02-4CCF-AC8A-7ADB4D21587E}" name="Ação realizada" dataDxfId="9"/>
    <tableColumn id="6" xr3:uid="{7C7EF00D-A068-42B3-B26F-924ACDC63ADA}" name="Resultado esperado" dataDxfId="8"/>
    <tableColumn id="7" xr3:uid="{300A7788-1DB0-4869-B5E0-B7A7C2C8470E}" name="Decisão" data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236215-21B3-4FA5-8EBF-3054BFEB1FCB}" name="Table5" displayName="Table5" ref="A1:E4" totalsRowShown="0" headerRowDxfId="6" dataDxfId="5">
  <autoFilter ref="A1:E4" xr:uid="{79236215-21B3-4FA5-8EBF-3054BFEB1FCB}"/>
  <tableColumns count="5">
    <tableColumn id="1" xr3:uid="{2E7649AE-8B5A-475E-8084-4617CE64CCD7}" name="Pergunta de análise (Pergunta essencial)" dataDxfId="4"/>
    <tableColumn id="2" xr3:uid="{D3797AB5-A540-4323-AFD9-31BCAFE3F58E}" name="Tipo de dado" dataDxfId="3"/>
    <tableColumn id="3" xr3:uid="{785B6DAE-903E-4059-A0EE-BBAF2F7CF4AB}" name="Indicador ou cálculo" dataDxfId="2"/>
    <tableColumn id="4" xr3:uid="{D9849F56-E0D5-40CE-98EE-2B5E7B85C016}" name="Gráfico" dataDxfId="1"/>
    <tableColumn id="5" xr3:uid="{560B2480-891C-43AD-83AA-284A8EC9C4B8}" name="Insigh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7D78-6C7D-4D65-AEBA-67DA205ECE2D}">
  <dimension ref="A1"/>
  <sheetViews>
    <sheetView workbookViewId="0">
      <selection activeCell="E5" sqref="E5"/>
    </sheetView>
  </sheetViews>
  <sheetFormatPr defaultRowHeight="15"/>
  <cols>
    <col min="1" max="1" width="82.42578125" customWidth="1"/>
    <col min="2" max="15" width="9.140625" bestFit="1" customWidth="1"/>
  </cols>
  <sheetData>
    <row r="1" spans="1:1" ht="409.6">
      <c r="A1" s="2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33B4-0428-4A55-871D-29EEEFDA4C4F}">
  <dimension ref="A1:P402"/>
  <sheetViews>
    <sheetView tabSelected="1" workbookViewId="0">
      <selection activeCell="Q1" sqref="Q1"/>
    </sheetView>
  </sheetViews>
  <sheetFormatPr defaultRowHeight="15"/>
  <cols>
    <col min="1" max="1" width="9" bestFit="1" customWidth="1"/>
    <col min="2" max="2" width="22.140625" bestFit="1" customWidth="1"/>
    <col min="3" max="3" width="15" style="3" bestFit="1" customWidth="1"/>
    <col min="4" max="4" width="8.42578125" style="2" bestFit="1" customWidth="1"/>
    <col min="5" max="5" width="16.85546875" style="4" bestFit="1" customWidth="1"/>
    <col min="6" max="6" width="23" style="1" bestFit="1" customWidth="1"/>
    <col min="7" max="7" width="21" style="1" bestFit="1" customWidth="1"/>
    <col min="8" max="8" width="16.7109375" style="37" bestFit="1" customWidth="1"/>
    <col min="9" max="9" width="18" style="37" bestFit="1" customWidth="1"/>
    <col min="10" max="10" width="20" bestFit="1" customWidth="1"/>
    <col min="11" max="11" width="16.42578125" bestFit="1" customWidth="1"/>
    <col min="12" max="12" width="13" bestFit="1" customWidth="1"/>
    <col min="13" max="13" width="15" style="26" bestFit="1" customWidth="1"/>
    <col min="14" max="14" width="17.140625" style="26" bestFit="1" customWidth="1"/>
    <col min="15" max="15" width="17.7109375" style="41" bestFit="1" customWidth="1"/>
    <col min="16" max="16" width="22.42578125" style="37" bestFit="1" customWidth="1"/>
  </cols>
  <sheetData>
    <row r="1" spans="1:16">
      <c r="A1" s="5" t="s">
        <v>1</v>
      </c>
      <c r="B1" s="6" t="s">
        <v>2</v>
      </c>
      <c r="C1" s="6" t="s">
        <v>3</v>
      </c>
      <c r="D1" s="7" t="s">
        <v>4</v>
      </c>
      <c r="E1" s="8" t="s">
        <v>5</v>
      </c>
      <c r="F1" s="6" t="s">
        <v>6</v>
      </c>
      <c r="G1" s="6" t="s">
        <v>7</v>
      </c>
      <c r="H1" s="34" t="s">
        <v>8</v>
      </c>
      <c r="I1" s="34" t="s">
        <v>9</v>
      </c>
      <c r="J1" s="6" t="s">
        <v>10</v>
      </c>
      <c r="K1" s="9" t="s">
        <v>11</v>
      </c>
      <c r="L1" s="6" t="s">
        <v>12</v>
      </c>
      <c r="M1" s="24" t="s">
        <v>13</v>
      </c>
      <c r="N1" s="24" t="s">
        <v>14</v>
      </c>
      <c r="O1" s="38" t="s">
        <v>15</v>
      </c>
      <c r="P1" s="42" t="s">
        <v>16</v>
      </c>
    </row>
    <row r="2" spans="1:16">
      <c r="A2" s="10" t="s">
        <v>17</v>
      </c>
      <c r="B2" s="11" t="s">
        <v>18</v>
      </c>
      <c r="C2" s="11" t="s">
        <v>19</v>
      </c>
      <c r="D2" s="12">
        <v>47</v>
      </c>
      <c r="E2" s="13" t="s">
        <v>20</v>
      </c>
      <c r="F2" s="11" t="s">
        <v>21</v>
      </c>
      <c r="G2" s="11" t="s">
        <v>22</v>
      </c>
      <c r="H2" s="35">
        <v>28400</v>
      </c>
      <c r="I2" s="35">
        <v>59500</v>
      </c>
      <c r="J2" s="11" t="s">
        <v>23</v>
      </c>
      <c r="K2" s="14">
        <v>37</v>
      </c>
      <c r="L2" s="11" t="str">
        <f>IF(K2&lt;=10, "Baixo", IF(K2&lt;=25, "Médio", "Alto"))</f>
        <v>Alto</v>
      </c>
      <c r="M2" s="25" t="str">
        <f>IF(AND(L2="Alto", J2="Sim"), "Negada", "Passa")</f>
        <v>Passa</v>
      </c>
      <c r="N2" s="25" t="str">
        <f>IF(AND(I2&gt;50000, J2="Sim"), "Negada", "Passa")</f>
        <v>Passa</v>
      </c>
      <c r="O2" s="39">
        <v>86500</v>
      </c>
      <c r="P2" s="43">
        <f>IF(OR(M2="Negada", N2="Negada"), 0, IF(A2="Ativo", O2*1.08, 0))</f>
        <v>93420</v>
      </c>
    </row>
    <row r="3" spans="1:16">
      <c r="A3" s="10" t="s">
        <v>17</v>
      </c>
      <c r="B3" s="11" t="s">
        <v>24</v>
      </c>
      <c r="C3" s="11" t="s">
        <v>25</v>
      </c>
      <c r="D3" s="12">
        <v>69</v>
      </c>
      <c r="E3" s="13" t="s">
        <v>26</v>
      </c>
      <c r="F3" s="11" t="s">
        <v>27</v>
      </c>
      <c r="G3" s="11" t="s">
        <v>28</v>
      </c>
      <c r="H3" s="35">
        <v>23800</v>
      </c>
      <c r="I3" s="35">
        <v>62000</v>
      </c>
      <c r="J3" s="11" t="s">
        <v>29</v>
      </c>
      <c r="K3" s="14">
        <v>37</v>
      </c>
      <c r="L3" s="11" t="str">
        <f>IF(K3&lt;=10, "Baixo", IF(K3&lt;=25, "Médio", "Alto"))</f>
        <v>Alto</v>
      </c>
      <c r="M3" s="25" t="str">
        <f>IF(AND(L3="Alto", J3="Sim"), "Negada", "Passa")</f>
        <v>Negada</v>
      </c>
      <c r="N3" s="25" t="str">
        <f>IF(AND(I3&gt;50000, J3="Sim"), "Negada", "Passa")</f>
        <v>Negada</v>
      </c>
      <c r="O3" s="39">
        <v>92500</v>
      </c>
      <c r="P3" s="43">
        <f t="shared" ref="P3:P66" si="0">IF(OR(M3="Negada", N3="Negada"), 0, IF(A3="Ativo", O3*1.08, 0))</f>
        <v>0</v>
      </c>
    </row>
    <row r="4" spans="1:16">
      <c r="A4" s="10" t="s">
        <v>17</v>
      </c>
      <c r="B4" s="11" t="s">
        <v>30</v>
      </c>
      <c r="C4" s="11" t="s">
        <v>31</v>
      </c>
      <c r="D4" s="12">
        <v>69</v>
      </c>
      <c r="E4" s="13" t="s">
        <v>32</v>
      </c>
      <c r="F4" s="11" t="s">
        <v>33</v>
      </c>
      <c r="G4" s="11" t="s">
        <v>34</v>
      </c>
      <c r="H4" s="35">
        <v>8100</v>
      </c>
      <c r="I4" s="35">
        <v>41000</v>
      </c>
      <c r="J4" s="11" t="s">
        <v>35</v>
      </c>
      <c r="K4" s="14"/>
      <c r="L4" s="11" t="str">
        <f>IF(K4&lt;=10, "Baixo", IF(K4&lt;=25, "Médio", "Alto"))</f>
        <v>Baixo</v>
      </c>
      <c r="M4" s="25" t="str">
        <f>IF(AND(L4="Alto", J4="Sim"), "Negada", "Passa")</f>
        <v>Passa</v>
      </c>
      <c r="N4" s="25" t="str">
        <f>IF(AND(I4&gt;50000, J4="Sim"), "Negada", "Passa")</f>
        <v>Passa</v>
      </c>
      <c r="O4" s="39"/>
      <c r="P4" s="43">
        <f t="shared" si="0"/>
        <v>0</v>
      </c>
    </row>
    <row r="5" spans="1:16">
      <c r="A5" s="10" t="s">
        <v>17</v>
      </c>
      <c r="B5" s="15" t="s">
        <v>36</v>
      </c>
      <c r="C5" s="11" t="s">
        <v>37</v>
      </c>
      <c r="D5" s="12">
        <v>36</v>
      </c>
      <c r="E5" s="13" t="s">
        <v>38</v>
      </c>
      <c r="F5" s="11" t="s">
        <v>21</v>
      </c>
      <c r="G5" s="11" t="s">
        <v>22</v>
      </c>
      <c r="H5" s="35">
        <v>16600</v>
      </c>
      <c r="I5" s="35">
        <v>15000</v>
      </c>
      <c r="J5" s="11" t="s">
        <v>23</v>
      </c>
      <c r="K5" s="14">
        <v>42</v>
      </c>
      <c r="L5" s="11" t="str">
        <f>IF(K5&lt;=10, "Baixo", IF(K5&lt;=25, "Médio", "Alto"))</f>
        <v>Alto</v>
      </c>
      <c r="M5" s="25" t="str">
        <f>IF(AND(L5="Alto", J5="Sim"), "Negada", "Passa")</f>
        <v>Passa</v>
      </c>
      <c r="N5" s="25" t="str">
        <f>IF(AND(I5&gt;50000, J5="Sim"), "Negada", "Passa")</f>
        <v>Passa</v>
      </c>
      <c r="O5" s="39">
        <v>8500</v>
      </c>
      <c r="P5" s="43">
        <f t="shared" si="0"/>
        <v>9180</v>
      </c>
    </row>
    <row r="6" spans="1:16">
      <c r="A6" s="10" t="s">
        <v>39</v>
      </c>
      <c r="B6" s="11" t="s">
        <v>40</v>
      </c>
      <c r="C6" s="11" t="s">
        <v>41</v>
      </c>
      <c r="D6" s="12">
        <v>55</v>
      </c>
      <c r="E6" s="13" t="s">
        <v>42</v>
      </c>
      <c r="F6" s="11" t="s">
        <v>21</v>
      </c>
      <c r="G6" s="11" t="s">
        <v>22</v>
      </c>
      <c r="H6" s="35">
        <v>6800</v>
      </c>
      <c r="I6" s="35">
        <v>44000</v>
      </c>
      <c r="J6" s="11" t="s">
        <v>23</v>
      </c>
      <c r="K6" s="14">
        <v>22</v>
      </c>
      <c r="L6" s="11" t="str">
        <f>IF(K6&lt;=10, "Baixo", IF(K6&lt;=25, "Médio", "Alto"))</f>
        <v>Médio</v>
      </c>
      <c r="M6" s="25" t="str">
        <f>IF(AND(L6="Alto", J6="Sim"), "Negada", "Passa")</f>
        <v>Passa</v>
      </c>
      <c r="N6" s="25" t="str">
        <f>IF(AND(I6&gt;50000, J6="Sim"), "Negada", "Passa")</f>
        <v>Passa</v>
      </c>
      <c r="O6" s="39">
        <v>56500</v>
      </c>
      <c r="P6" s="43">
        <f t="shared" si="0"/>
        <v>0</v>
      </c>
    </row>
    <row r="7" spans="1:16">
      <c r="A7" s="10" t="s">
        <v>17</v>
      </c>
      <c r="B7" s="11" t="s">
        <v>43</v>
      </c>
      <c r="C7" s="11" t="s">
        <v>44</v>
      </c>
      <c r="D7" s="12">
        <v>56</v>
      </c>
      <c r="E7" s="13" t="s">
        <v>45</v>
      </c>
      <c r="F7" s="11" t="s">
        <v>46</v>
      </c>
      <c r="G7" s="11" t="s">
        <v>46</v>
      </c>
      <c r="H7" s="35">
        <v>11100</v>
      </c>
      <c r="I7" s="35">
        <v>32500</v>
      </c>
      <c r="J7" s="11" t="s">
        <v>23</v>
      </c>
      <c r="K7" s="14">
        <v>40</v>
      </c>
      <c r="L7" s="11" t="str">
        <f>IF(K7&lt;=10, "Baixo", IF(K7&lt;=25, "Médio", "Alto"))</f>
        <v>Alto</v>
      </c>
      <c r="M7" s="25" t="str">
        <f>IF(AND(L7="Alto", J7="Sim"), "Negada", "Passa")</f>
        <v>Passa</v>
      </c>
      <c r="N7" s="25" t="str">
        <f>IF(AND(I7&gt;50000, J7="Sim"), "Negada", "Passa")</f>
        <v>Passa</v>
      </c>
      <c r="O7" s="39">
        <v>4500</v>
      </c>
      <c r="P7" s="43">
        <f t="shared" si="0"/>
        <v>4860</v>
      </c>
    </row>
    <row r="8" spans="1:16">
      <c r="A8" s="10" t="s">
        <v>39</v>
      </c>
      <c r="B8" s="11" t="s">
        <v>47</v>
      </c>
      <c r="C8" s="11" t="s">
        <v>48</v>
      </c>
      <c r="D8" s="12">
        <v>45</v>
      </c>
      <c r="E8" s="13" t="s">
        <v>49</v>
      </c>
      <c r="F8" s="11" t="s">
        <v>50</v>
      </c>
      <c r="G8" s="11" t="s">
        <v>51</v>
      </c>
      <c r="H8" s="35">
        <v>5100</v>
      </c>
      <c r="I8" s="35">
        <v>49500</v>
      </c>
      <c r="J8" s="11" t="s">
        <v>29</v>
      </c>
      <c r="K8" s="14">
        <v>27</v>
      </c>
      <c r="L8" s="11" t="str">
        <f>IF(K8&lt;=10, "Baixo", IF(K8&lt;=25, "Médio", "Alto"))</f>
        <v>Alto</v>
      </c>
      <c r="M8" s="25" t="str">
        <f>IF(AND(L8="Alto", J8="Sim"), "Negada", "Passa")</f>
        <v>Negada</v>
      </c>
      <c r="N8" s="25" t="str">
        <f>IF(AND(I8&gt;50000, J8="Sim"), "Negada", "Passa")</f>
        <v>Passa</v>
      </c>
      <c r="O8" s="39">
        <v>23000</v>
      </c>
      <c r="P8" s="43">
        <f t="shared" si="0"/>
        <v>0</v>
      </c>
    </row>
    <row r="9" spans="1:16">
      <c r="A9" s="10" t="s">
        <v>17</v>
      </c>
      <c r="B9" s="11" t="s">
        <v>52</v>
      </c>
      <c r="C9" s="11" t="s">
        <v>53</v>
      </c>
      <c r="D9" s="12">
        <v>65</v>
      </c>
      <c r="E9" s="13" t="s">
        <v>54</v>
      </c>
      <c r="F9" s="11" t="s">
        <v>55</v>
      </c>
      <c r="G9" s="11" t="s">
        <v>56</v>
      </c>
      <c r="H9" s="35">
        <v>3800</v>
      </c>
      <c r="I9" s="35">
        <v>51500</v>
      </c>
      <c r="J9" s="11" t="s">
        <v>29</v>
      </c>
      <c r="K9" s="14">
        <v>44</v>
      </c>
      <c r="L9" s="11" t="str">
        <f>IF(K9&lt;=10, "Baixo", IF(K9&lt;=25, "Médio", "Alto"))</f>
        <v>Alto</v>
      </c>
      <c r="M9" s="25" t="str">
        <f>IF(AND(L9="Alto", J9="Sim"), "Negada", "Passa")</f>
        <v>Negada</v>
      </c>
      <c r="N9" s="25" t="str">
        <f>IF(AND(I9&gt;50000, J9="Sim"), "Negada", "Passa")</f>
        <v>Negada</v>
      </c>
      <c r="O9" s="39">
        <v>24000</v>
      </c>
      <c r="P9" s="43">
        <f t="shared" si="0"/>
        <v>0</v>
      </c>
    </row>
    <row r="10" spans="1:16">
      <c r="A10" s="10" t="s">
        <v>17</v>
      </c>
      <c r="B10" s="11" t="s">
        <v>57</v>
      </c>
      <c r="C10" s="11" t="s">
        <v>58</v>
      </c>
      <c r="D10" s="12">
        <v>19</v>
      </c>
      <c r="E10" s="13" t="s">
        <v>59</v>
      </c>
      <c r="F10" s="11" t="s">
        <v>60</v>
      </c>
      <c r="G10" s="11" t="s">
        <v>61</v>
      </c>
      <c r="H10" s="35">
        <v>14900</v>
      </c>
      <c r="I10" s="35">
        <v>69000</v>
      </c>
      <c r="J10" s="11" t="s">
        <v>23</v>
      </c>
      <c r="K10" s="14">
        <v>15</v>
      </c>
      <c r="L10" s="11" t="str">
        <f>IF(K10&lt;=10, "Baixo", IF(K10&lt;=25, "Médio", "Alto"))</f>
        <v>Médio</v>
      </c>
      <c r="M10" s="25" t="str">
        <f>IF(AND(L10="Alto", J10="Sim"), "Negada", "Passa")</f>
        <v>Passa</v>
      </c>
      <c r="N10" s="25" t="str">
        <f>IF(AND(I10&gt;50000, J10="Sim"), "Negada", "Passa")</f>
        <v>Passa</v>
      </c>
      <c r="O10" s="39">
        <v>39500</v>
      </c>
      <c r="P10" s="43">
        <f t="shared" si="0"/>
        <v>42660</v>
      </c>
    </row>
    <row r="11" spans="1:16">
      <c r="A11" s="10" t="s">
        <v>39</v>
      </c>
      <c r="B11" s="11" t="s">
        <v>62</v>
      </c>
      <c r="C11" s="11" t="s">
        <v>63</v>
      </c>
      <c r="D11" s="12">
        <v>66</v>
      </c>
      <c r="E11" s="13" t="s">
        <v>64</v>
      </c>
      <c r="F11" s="11" t="s">
        <v>21</v>
      </c>
      <c r="G11" s="11" t="s">
        <v>22</v>
      </c>
      <c r="H11" s="35">
        <v>16800</v>
      </c>
      <c r="I11" s="35">
        <f>15*1000</f>
        <v>15000</v>
      </c>
      <c r="J11" s="11" t="s">
        <v>35</v>
      </c>
      <c r="K11" s="14"/>
      <c r="L11" s="11" t="str">
        <f>IF(K11&lt;=10, "Baixo", IF(K11&lt;=25, "Médio", "Alto"))</f>
        <v>Baixo</v>
      </c>
      <c r="M11" s="25" t="str">
        <f>IF(AND(L11="Alto", J11="Sim"), "Negada", "Passa")</f>
        <v>Passa</v>
      </c>
      <c r="N11" s="25" t="str">
        <f>IF(AND(I11&gt;50000, J11="Sim"), "Negada", "Passa")</f>
        <v>Passa</v>
      </c>
      <c r="O11" s="39"/>
      <c r="P11" s="43">
        <f t="shared" si="0"/>
        <v>0</v>
      </c>
    </row>
    <row r="12" spans="1:16">
      <c r="A12" s="10" t="s">
        <v>17</v>
      </c>
      <c r="B12" s="11" t="s">
        <v>65</v>
      </c>
      <c r="C12" s="11" t="s">
        <v>66</v>
      </c>
      <c r="D12" s="12">
        <v>72</v>
      </c>
      <c r="E12" s="13" t="s">
        <v>67</v>
      </c>
      <c r="F12" s="15" t="s">
        <v>50</v>
      </c>
      <c r="G12" s="11" t="s">
        <v>51</v>
      </c>
      <c r="H12" s="35">
        <v>27100</v>
      </c>
      <c r="I12" s="35">
        <v>60500</v>
      </c>
      <c r="J12" s="11" t="s">
        <v>35</v>
      </c>
      <c r="K12" s="14">
        <v>15</v>
      </c>
      <c r="L12" s="11" t="str">
        <f>IF(K12&lt;=10, "Baixo", IF(K12&lt;=25, "Médio", "Alto"))</f>
        <v>Médio</v>
      </c>
      <c r="M12" s="25" t="str">
        <f>IF(AND(L12="Alto", J12="Sim"), "Negada", "Passa")</f>
        <v>Passa</v>
      </c>
      <c r="N12" s="25" t="str">
        <f>IF(AND(I12&gt;50000, J12="Sim"), "Negada", "Passa")</f>
        <v>Passa</v>
      </c>
      <c r="O12" s="39">
        <v>74500</v>
      </c>
      <c r="P12" s="43">
        <f t="shared" si="0"/>
        <v>80460</v>
      </c>
    </row>
    <row r="13" spans="1:16">
      <c r="A13" s="10" t="s">
        <v>17</v>
      </c>
      <c r="B13" s="11" t="s">
        <v>68</v>
      </c>
      <c r="C13" s="11" t="s">
        <v>69</v>
      </c>
      <c r="D13" s="12">
        <v>24</v>
      </c>
      <c r="E13" s="13" t="s">
        <v>70</v>
      </c>
      <c r="F13" s="11" t="s">
        <v>71</v>
      </c>
      <c r="G13" s="11" t="s">
        <v>72</v>
      </c>
      <c r="H13" s="35">
        <v>21600</v>
      </c>
      <c r="I13" s="35"/>
      <c r="J13" s="11" t="s">
        <v>23</v>
      </c>
      <c r="K13" s="14">
        <v>13</v>
      </c>
      <c r="L13" s="11" t="str">
        <f>IF(K13&lt;=10, "Baixo", IF(K13&lt;=25, "Médio", "Alto"))</f>
        <v>Médio</v>
      </c>
      <c r="M13" s="25" t="str">
        <f>IF(AND(L13="Alto", J13="Sim"), "Negada", "Passa")</f>
        <v>Passa</v>
      </c>
      <c r="N13" s="25" t="str">
        <f>IF(AND(I13&gt;50000, J13="Sim"), "Negada", "Passa")</f>
        <v>Passa</v>
      </c>
      <c r="O13" s="39">
        <v>70000</v>
      </c>
      <c r="P13" s="43">
        <f t="shared" si="0"/>
        <v>75600</v>
      </c>
    </row>
    <row r="14" spans="1:16">
      <c r="A14" s="10" t="s">
        <v>17</v>
      </c>
      <c r="B14" s="11" t="s">
        <v>73</v>
      </c>
      <c r="C14" s="11" t="s">
        <v>74</v>
      </c>
      <c r="D14" s="12">
        <v>21</v>
      </c>
      <c r="E14" s="13" t="s">
        <v>75</v>
      </c>
      <c r="F14" s="11" t="s">
        <v>33</v>
      </c>
      <c r="G14" s="11" t="s">
        <v>34</v>
      </c>
      <c r="H14" s="35">
        <v>3800</v>
      </c>
      <c r="I14" s="35">
        <v>51500</v>
      </c>
      <c r="J14" s="11" t="s">
        <v>23</v>
      </c>
      <c r="K14" s="14">
        <v>14</v>
      </c>
      <c r="L14" s="11" t="str">
        <f>IF(K14&lt;=10, "Baixo", IF(K14&lt;=25, "Médio", "Alto"))</f>
        <v>Médio</v>
      </c>
      <c r="M14" s="25" t="str">
        <f>IF(AND(L14="Alto", J14="Sim"), "Negada", "Passa")</f>
        <v>Passa</v>
      </c>
      <c r="N14" s="25" t="str">
        <f>IF(AND(I14&gt;50000, J14="Sim"), "Negada", "Passa")</f>
        <v>Passa</v>
      </c>
      <c r="O14" s="39">
        <v>29500</v>
      </c>
      <c r="P14" s="43">
        <f t="shared" si="0"/>
        <v>31860.000000000004</v>
      </c>
    </row>
    <row r="15" spans="1:16">
      <c r="A15" s="10" t="s">
        <v>39</v>
      </c>
      <c r="B15" s="11" t="s">
        <v>76</v>
      </c>
      <c r="C15" s="11" t="s">
        <v>77</v>
      </c>
      <c r="D15" s="12">
        <v>49</v>
      </c>
      <c r="E15" s="13" t="s">
        <v>78</v>
      </c>
      <c r="F15" s="11" t="s">
        <v>55</v>
      </c>
      <c r="G15" s="11" t="s">
        <v>56</v>
      </c>
      <c r="H15" s="35">
        <v>25200</v>
      </c>
      <c r="I15" s="35"/>
      <c r="J15" s="11" t="s">
        <v>23</v>
      </c>
      <c r="K15" s="14">
        <v>18</v>
      </c>
      <c r="L15" s="11" t="str">
        <f>IF(K15&lt;=10, "Baixo", IF(K15&lt;=25, "Médio", "Alto"))</f>
        <v>Médio</v>
      </c>
      <c r="M15" s="25" t="str">
        <f>IF(AND(L15="Alto", J15="Sim"), "Negada", "Passa")</f>
        <v>Passa</v>
      </c>
      <c r="N15" s="25" t="str">
        <f>IF(AND(I15&gt;50000, J15="Sim"), "Negada", "Passa")</f>
        <v>Passa</v>
      </c>
      <c r="O15" s="39">
        <v>64000</v>
      </c>
      <c r="P15" s="43">
        <f t="shared" si="0"/>
        <v>0</v>
      </c>
    </row>
    <row r="16" spans="1:16">
      <c r="A16" s="10" t="s">
        <v>17</v>
      </c>
      <c r="B16" s="11" t="s">
        <v>79</v>
      </c>
      <c r="C16" s="11" t="s">
        <v>80</v>
      </c>
      <c r="D16" s="12">
        <v>70</v>
      </c>
      <c r="E16" s="13" t="s">
        <v>81</v>
      </c>
      <c r="F16" s="11" t="s">
        <v>82</v>
      </c>
      <c r="G16" s="11" t="s">
        <v>22</v>
      </c>
      <c r="H16" s="35">
        <v>16300</v>
      </c>
      <c r="I16" s="35">
        <v>16000</v>
      </c>
      <c r="J16" s="11" t="s">
        <v>35</v>
      </c>
      <c r="K16" s="14">
        <v>32</v>
      </c>
      <c r="L16" s="11" t="str">
        <f>IF(K16&lt;=10, "Baixo", IF(K16&lt;=25, "Médio", "Alto"))</f>
        <v>Alto</v>
      </c>
      <c r="M16" s="25" t="str">
        <f>IF(AND(L16="Alto", J16="Sim"), "Negada", "Passa")</f>
        <v>Passa</v>
      </c>
      <c r="N16" s="25" t="str">
        <f>IF(AND(I16&gt;50000, J16="Sim"), "Negada", "Passa")</f>
        <v>Passa</v>
      </c>
      <c r="O16" s="39">
        <v>31500</v>
      </c>
      <c r="P16" s="43">
        <f t="shared" si="0"/>
        <v>34020</v>
      </c>
    </row>
    <row r="17" spans="1:16">
      <c r="A17" s="10" t="s">
        <v>17</v>
      </c>
      <c r="B17" s="11" t="s">
        <v>83</v>
      </c>
      <c r="C17" s="11" t="s">
        <v>84</v>
      </c>
      <c r="D17" s="12">
        <v>50</v>
      </c>
      <c r="E17" s="13" t="s">
        <v>85</v>
      </c>
      <c r="F17" s="11" t="s">
        <v>46</v>
      </c>
      <c r="G17" s="11" t="s">
        <v>46</v>
      </c>
      <c r="H17" s="35">
        <v>16100</v>
      </c>
      <c r="I17" s="35">
        <v>16500</v>
      </c>
      <c r="J17" s="11" t="s">
        <v>29</v>
      </c>
      <c r="K17" s="14">
        <v>38</v>
      </c>
      <c r="L17" s="11" t="str">
        <f>IF(K17&lt;=10, "Baixo", IF(K17&lt;=25, "Médio", "Alto"))</f>
        <v>Alto</v>
      </c>
      <c r="M17" s="25" t="str">
        <f>IF(AND(L17="Alto", J17="Sim"), "Negada", "Passa")</f>
        <v>Negada</v>
      </c>
      <c r="N17" s="25" t="str">
        <f>IF(AND(I17&gt;50000, J17="Sim"), "Negada", "Passa")</f>
        <v>Passa</v>
      </c>
      <c r="O17" s="39">
        <v>15500</v>
      </c>
      <c r="P17" s="43">
        <f t="shared" si="0"/>
        <v>0</v>
      </c>
    </row>
    <row r="18" spans="1:16">
      <c r="A18" s="10" t="s">
        <v>39</v>
      </c>
      <c r="B18" s="11" t="s">
        <v>86</v>
      </c>
      <c r="C18" s="11" t="s">
        <v>87</v>
      </c>
      <c r="D18" s="12">
        <v>51</v>
      </c>
      <c r="E18" s="13" t="s">
        <v>88</v>
      </c>
      <c r="F18" s="11" t="s">
        <v>55</v>
      </c>
      <c r="G18" s="11" t="s">
        <v>56</v>
      </c>
      <c r="H18" s="35">
        <v>19400</v>
      </c>
      <c r="I18" s="35">
        <v>66000</v>
      </c>
      <c r="J18" s="11" t="s">
        <v>35</v>
      </c>
      <c r="K18" s="14">
        <v>11</v>
      </c>
      <c r="L18" s="11" t="str">
        <f>IF(K18&lt;=10, "Baixo", IF(K18&lt;=25, "Médio", "Alto"))</f>
        <v>Médio</v>
      </c>
      <c r="M18" s="25" t="str">
        <f>IF(AND(L18="Alto", J18="Sim"), "Negada", "Passa")</f>
        <v>Passa</v>
      </c>
      <c r="N18" s="25" t="str">
        <f>IF(AND(I18&gt;50000, J18="Sim"), "Negada", "Passa")</f>
        <v>Passa</v>
      </c>
      <c r="O18" s="39">
        <v>4500</v>
      </c>
      <c r="P18" s="43">
        <f t="shared" si="0"/>
        <v>0</v>
      </c>
    </row>
    <row r="19" spans="1:16">
      <c r="A19" s="10" t="s">
        <v>17</v>
      </c>
      <c r="B19" s="11" t="s">
        <v>89</v>
      </c>
      <c r="C19" s="11" t="s">
        <v>90</v>
      </c>
      <c r="D19" s="12">
        <v>33</v>
      </c>
      <c r="E19" s="13" t="s">
        <v>91</v>
      </c>
      <c r="F19" s="11" t="s">
        <v>92</v>
      </c>
      <c r="G19" s="11" t="s">
        <v>93</v>
      </c>
      <c r="H19" s="35">
        <v>21500</v>
      </c>
      <c r="I19" s="35"/>
      <c r="J19" s="11" t="s">
        <v>23</v>
      </c>
      <c r="K19" s="14">
        <v>3</v>
      </c>
      <c r="L19" s="11" t="str">
        <f>IF(K19&lt;=10, "Baixo", IF(K19&lt;=25, "Médio", "Alto"))</f>
        <v>Baixo</v>
      </c>
      <c r="M19" s="25" t="str">
        <f>IF(AND(L19="Alto", J19="Sim"), "Negada", "Passa")</f>
        <v>Passa</v>
      </c>
      <c r="N19" s="25" t="str">
        <f>IF(AND(I19&gt;50000, J19="Sim"), "Negada", "Passa")</f>
        <v>Passa</v>
      </c>
      <c r="O19" s="39">
        <v>48500</v>
      </c>
      <c r="P19" s="43">
        <f t="shared" si="0"/>
        <v>52380</v>
      </c>
    </row>
    <row r="20" spans="1:16">
      <c r="A20" s="10" t="s">
        <v>39</v>
      </c>
      <c r="B20" s="11" t="s">
        <v>94</v>
      </c>
      <c r="C20" s="11" t="s">
        <v>95</v>
      </c>
      <c r="D20" s="12">
        <v>29</v>
      </c>
      <c r="E20" s="13" t="s">
        <v>96</v>
      </c>
      <c r="F20" s="11" t="s">
        <v>97</v>
      </c>
      <c r="G20" s="11" t="s">
        <v>56</v>
      </c>
      <c r="H20" s="35">
        <v>13800</v>
      </c>
      <c r="I20" s="35">
        <v>23000</v>
      </c>
      <c r="J20" s="11" t="s">
        <v>35</v>
      </c>
      <c r="K20" s="14"/>
      <c r="L20" s="11" t="str">
        <f>IF(K20&lt;=10, "Baixo", IF(K20&lt;=25, "Médio", "Alto"))</f>
        <v>Baixo</v>
      </c>
      <c r="M20" s="25" t="str">
        <f>IF(AND(L20="Alto", J20="Sim"), "Negada", "Passa")</f>
        <v>Passa</v>
      </c>
      <c r="N20" s="25" t="str">
        <f>IF(AND(I20&gt;50000, J20="Sim"), "Negada", "Passa")</f>
        <v>Passa</v>
      </c>
      <c r="O20" s="39"/>
      <c r="P20" s="43">
        <f t="shared" si="0"/>
        <v>0</v>
      </c>
    </row>
    <row r="21" spans="1:16">
      <c r="A21" s="10" t="s">
        <v>17</v>
      </c>
      <c r="B21" s="11" t="s">
        <v>98</v>
      </c>
      <c r="C21" s="11" t="s">
        <v>99</v>
      </c>
      <c r="D21" s="12">
        <v>35</v>
      </c>
      <c r="E21" s="13" t="s">
        <v>100</v>
      </c>
      <c r="F21" s="11" t="s">
        <v>92</v>
      </c>
      <c r="G21" s="11" t="s">
        <v>93</v>
      </c>
      <c r="H21" s="35">
        <v>8400</v>
      </c>
      <c r="I21" s="35">
        <v>76500</v>
      </c>
      <c r="J21" s="11" t="s">
        <v>29</v>
      </c>
      <c r="K21" s="14">
        <v>33</v>
      </c>
      <c r="L21" s="11" t="str">
        <f>IF(K21&lt;=10, "Baixo", IF(K21&lt;=25, "Médio", "Alto"))</f>
        <v>Alto</v>
      </c>
      <c r="M21" s="25" t="str">
        <f>IF(AND(L21="Alto", J21="Sim"), "Negada", "Passa")</f>
        <v>Negada</v>
      </c>
      <c r="N21" s="25" t="str">
        <f>IF(AND(I21&gt;50000, J21="Sim"), "Negada", "Passa")</f>
        <v>Negada</v>
      </c>
      <c r="O21" s="39">
        <v>26000</v>
      </c>
      <c r="P21" s="43">
        <f t="shared" si="0"/>
        <v>0</v>
      </c>
    </row>
    <row r="22" spans="1:16">
      <c r="A22" s="10" t="s">
        <v>17</v>
      </c>
      <c r="B22" s="11" t="s">
        <v>101</v>
      </c>
      <c r="C22" s="11" t="s">
        <v>102</v>
      </c>
      <c r="D22" s="12">
        <v>59</v>
      </c>
      <c r="E22" s="13" t="s">
        <v>103</v>
      </c>
      <c r="F22" s="11" t="s">
        <v>33</v>
      </c>
      <c r="G22" s="11" t="s">
        <v>34</v>
      </c>
      <c r="H22" s="35">
        <v>19900</v>
      </c>
      <c r="I22" s="35">
        <v>66000</v>
      </c>
      <c r="J22" s="11" t="s">
        <v>23</v>
      </c>
      <c r="K22" s="14">
        <v>24</v>
      </c>
      <c r="L22" s="11" t="str">
        <f>IF(K22&lt;=10, "Baixo", IF(K22&lt;=25, "Médio", "Alto"))</f>
        <v>Médio</v>
      </c>
      <c r="M22" s="25" t="str">
        <f>IF(AND(L22="Alto", J22="Sim"), "Negada", "Passa")</f>
        <v>Passa</v>
      </c>
      <c r="N22" s="25" t="str">
        <f>IF(AND(I22&gt;50000, J22="Sim"), "Negada", "Passa")</f>
        <v>Passa</v>
      </c>
      <c r="O22" s="39">
        <v>72000</v>
      </c>
      <c r="P22" s="43">
        <f t="shared" si="0"/>
        <v>77760</v>
      </c>
    </row>
    <row r="23" spans="1:16">
      <c r="A23" s="10" t="s">
        <v>17</v>
      </c>
      <c r="B23" s="11" t="s">
        <v>101</v>
      </c>
      <c r="C23" s="11" t="s">
        <v>104</v>
      </c>
      <c r="D23" s="12"/>
      <c r="E23" s="13" t="s">
        <v>105</v>
      </c>
      <c r="F23" s="11" t="s">
        <v>60</v>
      </c>
      <c r="G23" s="11" t="s">
        <v>61</v>
      </c>
      <c r="H23" s="35">
        <v>17600</v>
      </c>
      <c r="I23" s="35">
        <v>12000</v>
      </c>
      <c r="J23" s="15" t="s">
        <v>29</v>
      </c>
      <c r="K23" s="14">
        <v>27</v>
      </c>
      <c r="L23" s="11" t="str">
        <f>IF(K23&lt;=10, "Baixo", IF(K23&lt;=25, "Médio", "Alto"))</f>
        <v>Alto</v>
      </c>
      <c r="M23" s="25" t="str">
        <f>IF(AND(L23="Alto", J23="Sim"), "Negada", "Passa")</f>
        <v>Negada</v>
      </c>
      <c r="N23" s="25" t="str">
        <f>IF(AND(I23&gt;50000, J23="Sim"), "Negada", "Passa")</f>
        <v>Passa</v>
      </c>
      <c r="O23" s="39">
        <v>67500</v>
      </c>
      <c r="P23" s="43">
        <f t="shared" si="0"/>
        <v>0</v>
      </c>
    </row>
    <row r="24" spans="1:16">
      <c r="A24" s="10" t="s">
        <v>17</v>
      </c>
      <c r="B24" s="11" t="s">
        <v>106</v>
      </c>
      <c r="C24" s="11" t="s">
        <v>107</v>
      </c>
      <c r="D24" s="12">
        <v>37</v>
      </c>
      <c r="E24" s="13" t="s">
        <v>108</v>
      </c>
      <c r="F24" s="11" t="s">
        <v>82</v>
      </c>
      <c r="G24" s="11" t="s">
        <v>22</v>
      </c>
      <c r="H24" s="35">
        <v>28900</v>
      </c>
      <c r="I24" s="35"/>
      <c r="J24" s="11" t="s">
        <v>35</v>
      </c>
      <c r="K24" s="14"/>
      <c r="L24" s="11" t="str">
        <f>IF(K24&lt;=10, "Baixo", IF(K24&lt;=25, "Médio", "Alto"))</f>
        <v>Baixo</v>
      </c>
      <c r="M24" s="25" t="str">
        <f>IF(AND(L24="Alto", J24="Sim"), "Negada", "Passa")</f>
        <v>Passa</v>
      </c>
      <c r="N24" s="25" t="str">
        <f>IF(AND(I24&gt;50000, J24="Sim"), "Negada", "Passa")</f>
        <v>Passa</v>
      </c>
      <c r="O24" s="39"/>
      <c r="P24" s="43">
        <f t="shared" si="0"/>
        <v>0</v>
      </c>
    </row>
    <row r="25" spans="1:16">
      <c r="A25" s="10" t="s">
        <v>17</v>
      </c>
      <c r="B25" s="11" t="s">
        <v>109</v>
      </c>
      <c r="C25" s="11" t="s">
        <v>110</v>
      </c>
      <c r="D25" s="12">
        <v>55</v>
      </c>
      <c r="E25" s="13" t="s">
        <v>111</v>
      </c>
      <c r="F25" s="11" t="s">
        <v>60</v>
      </c>
      <c r="G25" s="11" t="s">
        <v>61</v>
      </c>
      <c r="H25" s="35">
        <v>22100</v>
      </c>
      <c r="I25" s="35">
        <v>63000</v>
      </c>
      <c r="J25" s="11" t="s">
        <v>23</v>
      </c>
      <c r="K25" s="14">
        <v>0</v>
      </c>
      <c r="L25" s="11" t="str">
        <f>IF(K25&lt;=10, "Baixo", IF(K25&lt;=25, "Médio", "Alto"))</f>
        <v>Baixo</v>
      </c>
      <c r="M25" s="25" t="str">
        <f>IF(AND(L25="Alto", J25="Sim"), "Negada", "Passa")</f>
        <v>Passa</v>
      </c>
      <c r="N25" s="25" t="str">
        <f>IF(AND(I25&gt;50000, J25="Sim"), "Negada", "Passa")</f>
        <v>Passa</v>
      </c>
      <c r="O25" s="39">
        <v>56000</v>
      </c>
      <c r="P25" s="43">
        <f t="shared" si="0"/>
        <v>60480.000000000007</v>
      </c>
    </row>
    <row r="26" spans="1:16">
      <c r="A26" s="10" t="s">
        <v>39</v>
      </c>
      <c r="B26" s="11" t="s">
        <v>112</v>
      </c>
      <c r="C26" s="11" t="s">
        <v>113</v>
      </c>
      <c r="D26" s="12">
        <v>25</v>
      </c>
      <c r="E26" s="13" t="s">
        <v>114</v>
      </c>
      <c r="F26" s="11" t="s">
        <v>115</v>
      </c>
      <c r="G26" s="11" t="s">
        <v>116</v>
      </c>
      <c r="H26" s="35">
        <v>24500</v>
      </c>
      <c r="I26" s="35">
        <v>62000</v>
      </c>
      <c r="J26" s="11" t="s">
        <v>23</v>
      </c>
      <c r="K26" s="14">
        <v>22</v>
      </c>
      <c r="L26" s="11" t="str">
        <f>IF(K26&lt;=10, "Baixo", IF(K26&lt;=25, "Médio", "Alto"))</f>
        <v>Médio</v>
      </c>
      <c r="M26" s="25" t="str">
        <f>IF(AND(L26="Alto", J26="Sim"), "Negada", "Passa")</f>
        <v>Passa</v>
      </c>
      <c r="N26" s="25" t="str">
        <f>IF(AND(I26&gt;50000, J26="Sim"), "Negada", "Passa")</f>
        <v>Passa</v>
      </c>
      <c r="O26" s="39">
        <v>62000</v>
      </c>
      <c r="P26" s="43">
        <f t="shared" si="0"/>
        <v>0</v>
      </c>
    </row>
    <row r="27" spans="1:16">
      <c r="A27" s="10" t="s">
        <v>17</v>
      </c>
      <c r="B27" s="11" t="s">
        <v>117</v>
      </c>
      <c r="C27" s="11" t="s">
        <v>118</v>
      </c>
      <c r="D27" s="12">
        <v>72</v>
      </c>
      <c r="E27" s="13" t="s">
        <v>119</v>
      </c>
      <c r="F27" s="11" t="s">
        <v>33</v>
      </c>
      <c r="G27" s="11" t="s">
        <v>34</v>
      </c>
      <c r="H27" s="35">
        <v>24300</v>
      </c>
      <c r="I27" s="35"/>
      <c r="J27" s="15" t="s">
        <v>29</v>
      </c>
      <c r="K27" s="14">
        <v>31</v>
      </c>
      <c r="L27" s="11" t="str">
        <f>IF(K27&lt;=10, "Baixo", IF(K27&lt;=25, "Médio", "Alto"))</f>
        <v>Alto</v>
      </c>
      <c r="M27" s="25" t="str">
        <f>IF(AND(L27="Alto", J27="Sim"), "Negada", "Passa")</f>
        <v>Negada</v>
      </c>
      <c r="N27" s="25" t="str">
        <f>IF(AND(I27&gt;50000, J27="Sim"), "Negada", "Passa")</f>
        <v>Passa</v>
      </c>
      <c r="O27" s="39">
        <v>89500</v>
      </c>
      <c r="P27" s="43">
        <f t="shared" si="0"/>
        <v>0</v>
      </c>
    </row>
    <row r="28" spans="1:16">
      <c r="A28" s="10" t="s">
        <v>17</v>
      </c>
      <c r="B28" s="11" t="s">
        <v>120</v>
      </c>
      <c r="C28" s="11" t="s">
        <v>121</v>
      </c>
      <c r="D28" s="12">
        <v>33</v>
      </c>
      <c r="E28" s="17" t="s">
        <v>122</v>
      </c>
      <c r="F28" s="15" t="s">
        <v>97</v>
      </c>
      <c r="G28" s="11" t="s">
        <v>56</v>
      </c>
      <c r="H28" s="35">
        <v>2970000</v>
      </c>
      <c r="I28" s="35"/>
      <c r="J28" s="11" t="s">
        <v>35</v>
      </c>
      <c r="K28" s="14"/>
      <c r="L28" s="11" t="str">
        <f>IF(K28&lt;=10, "Baixo", IF(K28&lt;=25, "Médio", "Alto"))</f>
        <v>Baixo</v>
      </c>
      <c r="M28" s="25" t="str">
        <f>IF(AND(L28="Alto", J28="Sim"), "Negada", "Passa")</f>
        <v>Passa</v>
      </c>
      <c r="N28" s="25" t="str">
        <f>IF(AND(I28&gt;50000, J28="Sim"), "Negada", "Passa")</f>
        <v>Passa</v>
      </c>
      <c r="O28" s="39"/>
      <c r="P28" s="43">
        <f t="shared" si="0"/>
        <v>0</v>
      </c>
    </row>
    <row r="29" spans="1:16">
      <c r="A29" s="10" t="s">
        <v>39</v>
      </c>
      <c r="B29" s="11" t="s">
        <v>120</v>
      </c>
      <c r="C29" s="11" t="s">
        <v>123</v>
      </c>
      <c r="D29" s="12">
        <v>44</v>
      </c>
      <c r="E29" s="13" t="s">
        <v>124</v>
      </c>
      <c r="F29" s="11" t="s">
        <v>46</v>
      </c>
      <c r="G29" s="11" t="s">
        <v>46</v>
      </c>
      <c r="H29" s="35"/>
      <c r="I29" s="35"/>
      <c r="J29" s="11" t="s">
        <v>35</v>
      </c>
      <c r="K29" s="14"/>
      <c r="L29" s="11" t="str">
        <f>IF(K29&lt;=10, "Baixo", IF(K29&lt;=25, "Médio", "Alto"))</f>
        <v>Baixo</v>
      </c>
      <c r="M29" s="25" t="str">
        <f>IF(AND(L29="Alto", J29="Sim"), "Negada", "Passa")</f>
        <v>Passa</v>
      </c>
      <c r="N29" s="25" t="str">
        <f>IF(AND(I29&gt;50000, J29="Sim"), "Negada", "Passa")</f>
        <v>Passa</v>
      </c>
      <c r="O29" s="39"/>
      <c r="P29" s="43">
        <f t="shared" si="0"/>
        <v>0</v>
      </c>
    </row>
    <row r="30" spans="1:16">
      <c r="A30" s="10" t="s">
        <v>17</v>
      </c>
      <c r="B30" s="11" t="s">
        <v>125</v>
      </c>
      <c r="C30" s="11" t="s">
        <v>126</v>
      </c>
      <c r="D30" s="12">
        <v>66</v>
      </c>
      <c r="E30" s="13" t="s">
        <v>127</v>
      </c>
      <c r="F30" s="11" t="s">
        <v>128</v>
      </c>
      <c r="G30" s="11" t="s">
        <v>28</v>
      </c>
      <c r="H30" s="35">
        <v>11800</v>
      </c>
      <c r="I30" s="35">
        <v>28000</v>
      </c>
      <c r="J30" s="11" t="s">
        <v>23</v>
      </c>
      <c r="K30" s="14">
        <v>41</v>
      </c>
      <c r="L30" s="11" t="str">
        <f>IF(K30&lt;=10, "Baixo", IF(K30&lt;=25, "Médio", "Alto"))</f>
        <v>Alto</v>
      </c>
      <c r="M30" s="25" t="str">
        <f>IF(AND(L30="Alto", J30="Sim"), "Negada", "Passa")</f>
        <v>Passa</v>
      </c>
      <c r="N30" s="25" t="str">
        <f>IF(AND(I30&gt;50000, J30="Sim"), "Negada", "Passa")</f>
        <v>Passa</v>
      </c>
      <c r="O30" s="39">
        <v>52500</v>
      </c>
      <c r="P30" s="43">
        <f t="shared" si="0"/>
        <v>56700.000000000007</v>
      </c>
    </row>
    <row r="31" spans="1:16">
      <c r="A31" s="10" t="s">
        <v>17</v>
      </c>
      <c r="B31" s="11" t="s">
        <v>125</v>
      </c>
      <c r="C31" s="11" t="s">
        <v>129</v>
      </c>
      <c r="D31" s="12">
        <v>20</v>
      </c>
      <c r="E31" s="13" t="s">
        <v>130</v>
      </c>
      <c r="F31" s="11" t="s">
        <v>131</v>
      </c>
      <c r="G31" s="11" t="s">
        <v>56</v>
      </c>
      <c r="H31" s="35">
        <v>18200</v>
      </c>
      <c r="I31" s="35">
        <f>8*1000</f>
        <v>8000</v>
      </c>
      <c r="J31" s="11" t="s">
        <v>29</v>
      </c>
      <c r="K31" s="14">
        <v>30</v>
      </c>
      <c r="L31" s="11" t="str">
        <f>IF(K31&lt;=10, "Baixo", IF(K31&lt;=25, "Médio", "Alto"))</f>
        <v>Alto</v>
      </c>
      <c r="M31" s="25" t="str">
        <f>IF(AND(L31="Alto", J31="Sim"), "Negada", "Passa")</f>
        <v>Negada</v>
      </c>
      <c r="N31" s="25" t="str">
        <f>IF(AND(I31&gt;50000, J31="Sim"), "Negada", "Passa")</f>
        <v>Passa</v>
      </c>
      <c r="O31" s="39">
        <v>27000</v>
      </c>
      <c r="P31" s="43">
        <f t="shared" si="0"/>
        <v>0</v>
      </c>
    </row>
    <row r="32" spans="1:16">
      <c r="A32" s="10" t="s">
        <v>17</v>
      </c>
      <c r="B32" s="11" t="s">
        <v>132</v>
      </c>
      <c r="C32" s="11" t="s">
        <v>133</v>
      </c>
      <c r="D32" s="12">
        <v>23</v>
      </c>
      <c r="E32" s="13" t="s">
        <v>134</v>
      </c>
      <c r="F32" s="11" t="s">
        <v>135</v>
      </c>
      <c r="G32" s="11" t="s">
        <v>93</v>
      </c>
      <c r="H32" s="35">
        <v>17900</v>
      </c>
      <c r="I32" s="35">
        <v>67500</v>
      </c>
      <c r="J32" s="11" t="s">
        <v>35</v>
      </c>
      <c r="K32" s="14"/>
      <c r="L32" s="11" t="str">
        <f>IF(K32&lt;=10, "Baixo", IF(K32&lt;=25, "Médio", "Alto"))</f>
        <v>Baixo</v>
      </c>
      <c r="M32" s="25" t="str">
        <f>IF(AND(L32="Alto", J32="Sim"), "Negada", "Passa")</f>
        <v>Passa</v>
      </c>
      <c r="N32" s="25" t="str">
        <f>IF(AND(I32&gt;50000, J32="Sim"), "Negada", "Passa")</f>
        <v>Passa</v>
      </c>
      <c r="O32" s="39"/>
      <c r="P32" s="43">
        <f t="shared" si="0"/>
        <v>0</v>
      </c>
    </row>
    <row r="33" spans="1:16">
      <c r="A33" s="10" t="s">
        <v>17</v>
      </c>
      <c r="B33" s="11" t="s">
        <v>136</v>
      </c>
      <c r="C33" s="11" t="s">
        <v>137</v>
      </c>
      <c r="D33" s="12">
        <v>48</v>
      </c>
      <c r="E33" s="13" t="s">
        <v>138</v>
      </c>
      <c r="F33" s="11" t="s">
        <v>60</v>
      </c>
      <c r="G33" s="11" t="s">
        <v>61</v>
      </c>
      <c r="H33" s="35">
        <v>4500</v>
      </c>
      <c r="I33" s="35">
        <v>49500</v>
      </c>
      <c r="J33" s="11" t="s">
        <v>23</v>
      </c>
      <c r="K33" s="14">
        <v>25</v>
      </c>
      <c r="L33" s="11" t="str">
        <f>IF(K33&lt;=10, "Baixo", IF(K33&lt;=25, "Médio", "Alto"))</f>
        <v>Médio</v>
      </c>
      <c r="M33" s="25" t="str">
        <f>IF(AND(L33="Alto", J33="Sim"), "Negada", "Passa")</f>
        <v>Passa</v>
      </c>
      <c r="N33" s="25" t="str">
        <f>IF(AND(I33&gt;50000, J33="Sim"), "Negada", "Passa")</f>
        <v>Passa</v>
      </c>
      <c r="O33" s="39">
        <v>46500</v>
      </c>
      <c r="P33" s="43">
        <f t="shared" si="0"/>
        <v>50220</v>
      </c>
    </row>
    <row r="34" spans="1:16">
      <c r="A34" s="10" t="s">
        <v>17</v>
      </c>
      <c r="B34" s="11" t="s">
        <v>139</v>
      </c>
      <c r="C34" s="11" t="s">
        <v>140</v>
      </c>
      <c r="D34" s="12">
        <v>18</v>
      </c>
      <c r="E34" s="13" t="s">
        <v>141</v>
      </c>
      <c r="F34" s="11" t="s">
        <v>21</v>
      </c>
      <c r="G34" s="11" t="s">
        <v>22</v>
      </c>
      <c r="H34" s="35">
        <v>18500</v>
      </c>
      <c r="I34" s="35">
        <v>6500</v>
      </c>
      <c r="J34" s="11" t="s">
        <v>23</v>
      </c>
      <c r="K34" s="14">
        <v>1</v>
      </c>
      <c r="L34" s="11" t="str">
        <f>IF(K34&lt;=10, "Baixo", IF(K34&lt;=25, "Médio", "Alto"))</f>
        <v>Baixo</v>
      </c>
      <c r="M34" s="25" t="str">
        <f>IF(AND(L34="Alto", J34="Sim"), "Negada", "Passa")</f>
        <v>Passa</v>
      </c>
      <c r="N34" s="25" t="str">
        <f>IF(AND(I34&gt;50000, J34="Sim"), "Negada", "Passa")</f>
        <v>Passa</v>
      </c>
      <c r="O34" s="39">
        <v>98500</v>
      </c>
      <c r="P34" s="43">
        <f t="shared" si="0"/>
        <v>106380</v>
      </c>
    </row>
    <row r="35" spans="1:16">
      <c r="A35" s="10" t="s">
        <v>17</v>
      </c>
      <c r="B35" s="11" t="s">
        <v>142</v>
      </c>
      <c r="C35" s="11" t="s">
        <v>143</v>
      </c>
      <c r="D35" s="12">
        <v>62</v>
      </c>
      <c r="E35" s="13" t="s">
        <v>144</v>
      </c>
      <c r="F35" s="11" t="s">
        <v>71</v>
      </c>
      <c r="G35" s="11" t="s">
        <v>72</v>
      </c>
      <c r="H35" s="35"/>
      <c r="I35" s="35"/>
      <c r="J35" s="11" t="s">
        <v>35</v>
      </c>
      <c r="K35" s="14"/>
      <c r="L35" s="11" t="str">
        <f>IF(K35&lt;=10, "Baixo", IF(K35&lt;=25, "Médio", "Alto"))</f>
        <v>Baixo</v>
      </c>
      <c r="M35" s="25" t="str">
        <f>IF(AND(L35="Alto", J35="Sim"), "Negada", "Passa")</f>
        <v>Passa</v>
      </c>
      <c r="N35" s="25" t="str">
        <f>IF(AND(I35&gt;50000, J35="Sim"), "Negada", "Passa")</f>
        <v>Passa</v>
      </c>
      <c r="O35" s="39"/>
      <c r="P35" s="43">
        <f t="shared" si="0"/>
        <v>0</v>
      </c>
    </row>
    <row r="36" spans="1:16">
      <c r="A36" s="10" t="s">
        <v>17</v>
      </c>
      <c r="B36" s="11" t="s">
        <v>145</v>
      </c>
      <c r="C36" s="11" t="s">
        <v>146</v>
      </c>
      <c r="D36" s="12">
        <v>39</v>
      </c>
      <c r="E36" s="13" t="s">
        <v>147</v>
      </c>
      <c r="F36" s="11" t="s">
        <v>97</v>
      </c>
      <c r="G36" s="11" t="s">
        <v>56</v>
      </c>
      <c r="H36" s="35">
        <v>8000</v>
      </c>
      <c r="I36" s="35">
        <v>41000</v>
      </c>
      <c r="J36" s="11" t="s">
        <v>35</v>
      </c>
      <c r="K36" s="14"/>
      <c r="L36" s="11" t="str">
        <f>IF(K36&lt;=10, "Baixo", IF(K36&lt;=25, "Médio", "Alto"))</f>
        <v>Baixo</v>
      </c>
      <c r="M36" s="25" t="str">
        <f>IF(AND(L36="Alto", J36="Sim"), "Negada", "Passa")</f>
        <v>Passa</v>
      </c>
      <c r="N36" s="25" t="str">
        <f>IF(AND(I36&gt;50000, J36="Sim"), "Negada", "Passa")</f>
        <v>Passa</v>
      </c>
      <c r="O36" s="39"/>
      <c r="P36" s="43">
        <f t="shared" si="0"/>
        <v>0</v>
      </c>
    </row>
    <row r="37" spans="1:16">
      <c r="A37" s="10" t="s">
        <v>17</v>
      </c>
      <c r="B37" s="11" t="s">
        <v>145</v>
      </c>
      <c r="C37" s="11" t="s">
        <v>148</v>
      </c>
      <c r="D37" s="12">
        <v>33</v>
      </c>
      <c r="E37" s="13" t="s">
        <v>149</v>
      </c>
      <c r="F37" s="15" t="s">
        <v>150</v>
      </c>
      <c r="G37" s="15" t="s">
        <v>22</v>
      </c>
      <c r="H37" s="35">
        <v>29200</v>
      </c>
      <c r="I37" s="35"/>
      <c r="J37" s="11" t="s">
        <v>35</v>
      </c>
      <c r="K37" s="14"/>
      <c r="L37" s="11" t="str">
        <f>IF(K37&lt;=10, "Baixo", IF(K37&lt;=25, "Médio", "Alto"))</f>
        <v>Baixo</v>
      </c>
      <c r="M37" s="25" t="str">
        <f>IF(AND(L37="Alto", J37="Sim"), "Negada", "Passa")</f>
        <v>Passa</v>
      </c>
      <c r="N37" s="25" t="str">
        <f>IF(AND(I37&gt;50000, J37="Sim"), "Negada", "Passa")</f>
        <v>Passa</v>
      </c>
      <c r="O37" s="39"/>
      <c r="P37" s="43">
        <f t="shared" si="0"/>
        <v>0</v>
      </c>
    </row>
    <row r="38" spans="1:16">
      <c r="A38" s="10" t="s">
        <v>39</v>
      </c>
      <c r="B38" s="11" t="s">
        <v>151</v>
      </c>
      <c r="C38" s="11" t="s">
        <v>152</v>
      </c>
      <c r="D38" s="12">
        <v>21</v>
      </c>
      <c r="E38" s="13" t="s">
        <v>153</v>
      </c>
      <c r="F38" s="11" t="s">
        <v>60</v>
      </c>
      <c r="G38" s="11" t="s">
        <v>61</v>
      </c>
      <c r="H38" s="35">
        <v>4400</v>
      </c>
      <c r="I38" s="35">
        <v>50000</v>
      </c>
      <c r="J38" s="11" t="s">
        <v>29</v>
      </c>
      <c r="K38" s="14">
        <v>9</v>
      </c>
      <c r="L38" s="11" t="str">
        <f>IF(K38&lt;=10, "Baixo", IF(K38&lt;=25, "Médio", "Alto"))</f>
        <v>Baixo</v>
      </c>
      <c r="M38" s="25" t="str">
        <f>IF(AND(L38="Alto", J38="Sim"), "Negada", "Passa")</f>
        <v>Passa</v>
      </c>
      <c r="N38" s="25" t="str">
        <f>IF(AND(I38&gt;50000, J38="Sim"), "Negada", "Passa")</f>
        <v>Passa</v>
      </c>
      <c r="O38" s="39">
        <v>25000</v>
      </c>
      <c r="P38" s="43">
        <f t="shared" si="0"/>
        <v>0</v>
      </c>
    </row>
    <row r="39" spans="1:16">
      <c r="A39" s="10" t="s">
        <v>17</v>
      </c>
      <c r="B39" s="11" t="s">
        <v>154</v>
      </c>
      <c r="C39" s="11" t="s">
        <v>155</v>
      </c>
      <c r="D39" s="12">
        <v>53</v>
      </c>
      <c r="E39" s="13" t="s">
        <v>156</v>
      </c>
      <c r="F39" s="11" t="s">
        <v>82</v>
      </c>
      <c r="G39" s="11" t="s">
        <v>22</v>
      </c>
      <c r="H39" s="35"/>
      <c r="I39" s="35"/>
      <c r="J39" s="11" t="s">
        <v>35</v>
      </c>
      <c r="K39" s="14"/>
      <c r="L39" s="11" t="str">
        <f>IF(K39&lt;=10, "Baixo", IF(K39&lt;=25, "Médio", "Alto"))</f>
        <v>Baixo</v>
      </c>
      <c r="M39" s="25" t="str">
        <f>IF(AND(L39="Alto", J39="Sim"), "Negada", "Passa")</f>
        <v>Passa</v>
      </c>
      <c r="N39" s="25" t="str">
        <f>IF(AND(I39&gt;50000, J39="Sim"), "Negada", "Passa")</f>
        <v>Passa</v>
      </c>
      <c r="O39" s="39"/>
      <c r="P39" s="43">
        <f t="shared" si="0"/>
        <v>0</v>
      </c>
    </row>
    <row r="40" spans="1:16">
      <c r="A40" s="10" t="s">
        <v>17</v>
      </c>
      <c r="B40" s="11" t="s">
        <v>157</v>
      </c>
      <c r="C40" s="11" t="s">
        <v>158</v>
      </c>
      <c r="D40" s="12">
        <v>29</v>
      </c>
      <c r="E40" s="13" t="s">
        <v>159</v>
      </c>
      <c r="F40" s="11" t="s">
        <v>60</v>
      </c>
      <c r="G40" s="11" t="s">
        <v>61</v>
      </c>
      <c r="H40" s="35">
        <v>19500</v>
      </c>
      <c r="I40" s="35">
        <f>5.5*1000</f>
        <v>5500</v>
      </c>
      <c r="J40" s="11" t="s">
        <v>23</v>
      </c>
      <c r="K40" s="14">
        <v>35</v>
      </c>
      <c r="L40" s="11" t="str">
        <f>IF(K40&lt;=10, "Baixo", IF(K40&lt;=25, "Médio", "Alto"))</f>
        <v>Alto</v>
      </c>
      <c r="M40" s="25" t="str">
        <f>IF(AND(L40="Alto", J40="Sim"), "Negada", "Passa")</f>
        <v>Passa</v>
      </c>
      <c r="N40" s="25" t="str">
        <f>IF(AND(I40&gt;50000, J40="Sim"), "Negada", "Passa")</f>
        <v>Passa</v>
      </c>
      <c r="O40" s="39">
        <v>21000</v>
      </c>
      <c r="P40" s="43">
        <f t="shared" si="0"/>
        <v>22680</v>
      </c>
    </row>
    <row r="41" spans="1:16">
      <c r="A41" s="10" t="s">
        <v>17</v>
      </c>
      <c r="B41" s="11" t="s">
        <v>160</v>
      </c>
      <c r="C41" s="11" t="s">
        <v>161</v>
      </c>
      <c r="D41" s="12">
        <v>42</v>
      </c>
      <c r="E41" s="13" t="s">
        <v>162</v>
      </c>
      <c r="F41" s="11" t="s">
        <v>60</v>
      </c>
      <c r="G41" s="11" t="s">
        <v>61</v>
      </c>
      <c r="H41" s="35">
        <v>17500</v>
      </c>
      <c r="I41" s="35">
        <v>12500</v>
      </c>
      <c r="J41" s="11" t="s">
        <v>23</v>
      </c>
      <c r="K41" s="14">
        <v>41</v>
      </c>
      <c r="L41" s="11" t="str">
        <f>IF(K41&lt;=10, "Baixo", IF(K41&lt;=25, "Médio", "Alto"))</f>
        <v>Alto</v>
      </c>
      <c r="M41" s="25" t="str">
        <f>IF(AND(L41="Alto", J41="Sim"), "Negada", "Passa")</f>
        <v>Passa</v>
      </c>
      <c r="N41" s="25" t="str">
        <f>IF(AND(I41&gt;50000, J41="Sim"), "Negada", "Passa")</f>
        <v>Passa</v>
      </c>
      <c r="O41" s="39">
        <v>99500</v>
      </c>
      <c r="P41" s="43">
        <f t="shared" si="0"/>
        <v>107460</v>
      </c>
    </row>
    <row r="42" spans="1:16">
      <c r="A42" s="10" t="s">
        <v>17</v>
      </c>
      <c r="B42" s="11" t="s">
        <v>163</v>
      </c>
      <c r="C42" s="11" t="s">
        <v>164</v>
      </c>
      <c r="D42" s="12">
        <v>62</v>
      </c>
      <c r="E42" s="13" t="s">
        <v>165</v>
      </c>
      <c r="F42" s="11" t="s">
        <v>92</v>
      </c>
      <c r="G42" s="11" t="s">
        <v>93</v>
      </c>
      <c r="H42" s="35">
        <v>11900</v>
      </c>
      <c r="I42" s="35">
        <v>27500</v>
      </c>
      <c r="J42" s="11" t="s">
        <v>23</v>
      </c>
      <c r="K42" s="14">
        <v>42</v>
      </c>
      <c r="L42" s="11" t="str">
        <f>IF(K42&lt;=10, "Baixo", IF(K42&lt;=25, "Médio", "Alto"))</f>
        <v>Alto</v>
      </c>
      <c r="M42" s="25" t="str">
        <f>IF(AND(L42="Alto", J42="Sim"), "Negada", "Passa")</f>
        <v>Passa</v>
      </c>
      <c r="N42" s="25" t="str">
        <f>IF(AND(I42&gt;50000, J42="Sim"), "Negada", "Passa")</f>
        <v>Passa</v>
      </c>
      <c r="O42" s="39">
        <v>72500</v>
      </c>
      <c r="P42" s="43">
        <f t="shared" si="0"/>
        <v>78300</v>
      </c>
    </row>
    <row r="43" spans="1:16">
      <c r="A43" s="10" t="s">
        <v>17</v>
      </c>
      <c r="B43" s="11" t="s">
        <v>166</v>
      </c>
      <c r="C43" s="11" t="s">
        <v>167</v>
      </c>
      <c r="D43" s="12">
        <v>39</v>
      </c>
      <c r="E43" s="13" t="s">
        <v>168</v>
      </c>
      <c r="F43" s="11" t="s">
        <v>97</v>
      </c>
      <c r="G43" s="11" t="s">
        <v>56</v>
      </c>
      <c r="H43" s="35">
        <v>9300</v>
      </c>
      <c r="I43" s="35">
        <v>75000</v>
      </c>
      <c r="J43" s="11" t="s">
        <v>23</v>
      </c>
      <c r="K43" s="14">
        <v>6</v>
      </c>
      <c r="L43" s="11" t="str">
        <f>IF(K43&lt;=10, "Baixo", IF(K43&lt;=25, "Médio", "Alto"))</f>
        <v>Baixo</v>
      </c>
      <c r="M43" s="25" t="str">
        <f>IF(AND(L43="Alto", J43="Sim"), "Negada", "Passa")</f>
        <v>Passa</v>
      </c>
      <c r="N43" s="25" t="str">
        <f>IF(AND(I43&gt;50000, J43="Sim"), "Negada", "Passa")</f>
        <v>Passa</v>
      </c>
      <c r="O43" s="39">
        <v>63500</v>
      </c>
      <c r="P43" s="43">
        <f t="shared" si="0"/>
        <v>68580</v>
      </c>
    </row>
    <row r="44" spans="1:16">
      <c r="A44" s="10" t="s">
        <v>17</v>
      </c>
      <c r="B44" s="11" t="s">
        <v>169</v>
      </c>
      <c r="C44" s="11" t="s">
        <v>170</v>
      </c>
      <c r="D44" s="12">
        <v>67</v>
      </c>
      <c r="E44" s="13" t="s">
        <v>171</v>
      </c>
      <c r="F44" s="11" t="s">
        <v>50</v>
      </c>
      <c r="G44" s="11" t="s">
        <v>51</v>
      </c>
      <c r="H44" s="35">
        <v>11300</v>
      </c>
      <c r="I44" s="35">
        <v>32000</v>
      </c>
      <c r="J44" s="11" t="s">
        <v>29</v>
      </c>
      <c r="K44" s="14">
        <v>26</v>
      </c>
      <c r="L44" s="11" t="str">
        <f>IF(K44&lt;=10, "Baixo", IF(K44&lt;=25, "Médio", "Alto"))</f>
        <v>Alto</v>
      </c>
      <c r="M44" s="25" t="str">
        <f>IF(AND(L44="Alto", J44="Sim"), "Negada", "Passa")</f>
        <v>Negada</v>
      </c>
      <c r="N44" s="25" t="str">
        <f>IF(AND(I44&gt;50000, J44="Sim"), "Negada", "Passa")</f>
        <v>Passa</v>
      </c>
      <c r="O44" s="39">
        <v>59000</v>
      </c>
      <c r="P44" s="43">
        <f t="shared" si="0"/>
        <v>0</v>
      </c>
    </row>
    <row r="45" spans="1:16">
      <c r="A45" s="10" t="s">
        <v>17</v>
      </c>
      <c r="B45" s="11" t="s">
        <v>172</v>
      </c>
      <c r="C45" s="11" t="s">
        <v>173</v>
      </c>
      <c r="D45" s="12">
        <v>23</v>
      </c>
      <c r="E45" s="13" t="s">
        <v>174</v>
      </c>
      <c r="F45" s="11" t="s">
        <v>60</v>
      </c>
      <c r="G45" s="11" t="s">
        <v>61</v>
      </c>
      <c r="H45" s="35">
        <v>10700</v>
      </c>
      <c r="I45" s="35">
        <v>34500</v>
      </c>
      <c r="J45" s="11" t="s">
        <v>23</v>
      </c>
      <c r="K45" s="14">
        <v>29</v>
      </c>
      <c r="L45" s="11" t="str">
        <f>IF(K45&lt;=10, "Baixo", IF(K45&lt;=25, "Médio", "Alto"))</f>
        <v>Alto</v>
      </c>
      <c r="M45" s="25" t="str">
        <f>IF(AND(L45="Alto", J45="Sim"), "Negada", "Passa")</f>
        <v>Passa</v>
      </c>
      <c r="N45" s="25" t="str">
        <f>IF(AND(I45&gt;50000, J45="Sim"), "Negada", "Passa")</f>
        <v>Passa</v>
      </c>
      <c r="O45" s="39">
        <v>10500</v>
      </c>
      <c r="P45" s="43">
        <f t="shared" si="0"/>
        <v>11340</v>
      </c>
    </row>
    <row r="46" spans="1:16">
      <c r="A46" s="10" t="s">
        <v>17</v>
      </c>
      <c r="B46" s="11" t="s">
        <v>175</v>
      </c>
      <c r="C46" s="11" t="s">
        <v>176</v>
      </c>
      <c r="D46" s="12">
        <v>53</v>
      </c>
      <c r="E46" s="13" t="s">
        <v>177</v>
      </c>
      <c r="F46" s="11" t="s">
        <v>97</v>
      </c>
      <c r="G46" s="11" t="s">
        <v>56</v>
      </c>
      <c r="H46" s="35">
        <v>9500</v>
      </c>
      <c r="I46" s="35">
        <v>38500</v>
      </c>
      <c r="J46" s="11" t="s">
        <v>23</v>
      </c>
      <c r="K46" s="14">
        <v>7</v>
      </c>
      <c r="L46" s="11" t="str">
        <f>IF(K46&lt;=10, "Baixo", IF(K46&lt;=25, "Médio", "Alto"))</f>
        <v>Baixo</v>
      </c>
      <c r="M46" s="25" t="str">
        <f>IF(AND(L46="Alto", J46="Sim"), "Negada", "Passa")</f>
        <v>Passa</v>
      </c>
      <c r="N46" s="25" t="str">
        <f>IF(AND(I46&gt;50000, J46="Sim"), "Negada", "Passa")</f>
        <v>Passa</v>
      </c>
      <c r="O46" s="39">
        <v>11000</v>
      </c>
      <c r="P46" s="43">
        <f t="shared" si="0"/>
        <v>11880</v>
      </c>
    </row>
    <row r="47" spans="1:16">
      <c r="A47" s="10" t="s">
        <v>17</v>
      </c>
      <c r="B47" s="11" t="s">
        <v>178</v>
      </c>
      <c r="C47" s="11" t="s">
        <v>179</v>
      </c>
      <c r="D47" s="12">
        <v>28</v>
      </c>
      <c r="E47" s="13" t="s">
        <v>180</v>
      </c>
      <c r="F47" s="11" t="s">
        <v>115</v>
      </c>
      <c r="G47" s="11" t="s">
        <v>116</v>
      </c>
      <c r="H47" s="35">
        <v>8600</v>
      </c>
      <c r="I47" s="35">
        <v>40500</v>
      </c>
      <c r="J47" s="11" t="s">
        <v>23</v>
      </c>
      <c r="K47" s="14">
        <v>43</v>
      </c>
      <c r="L47" s="11" t="str">
        <f>IF(K47&lt;=10, "Baixo", IF(K47&lt;=25, "Médio", "Alto"))</f>
        <v>Alto</v>
      </c>
      <c r="M47" s="25" t="str">
        <f>IF(AND(L47="Alto", J47="Sim"), "Negada", "Passa")</f>
        <v>Passa</v>
      </c>
      <c r="N47" s="25" t="str">
        <f>IF(AND(I47&gt;50000, J47="Sim"), "Negada", "Passa")</f>
        <v>Passa</v>
      </c>
      <c r="O47" s="39">
        <v>24500</v>
      </c>
      <c r="P47" s="43">
        <f t="shared" si="0"/>
        <v>26460</v>
      </c>
    </row>
    <row r="48" spans="1:16">
      <c r="A48" s="10" t="s">
        <v>17</v>
      </c>
      <c r="B48" s="11" t="s">
        <v>178</v>
      </c>
      <c r="C48" s="11" t="s">
        <v>181</v>
      </c>
      <c r="D48" s="12">
        <v>29</v>
      </c>
      <c r="E48" s="13" t="s">
        <v>182</v>
      </c>
      <c r="F48" s="11" t="s">
        <v>131</v>
      </c>
      <c r="G48" s="11" t="s">
        <v>56</v>
      </c>
      <c r="H48" s="35">
        <v>11900</v>
      </c>
      <c r="I48" s="35">
        <v>27000</v>
      </c>
      <c r="J48" s="11" t="s">
        <v>23</v>
      </c>
      <c r="K48" s="14">
        <v>28</v>
      </c>
      <c r="L48" s="11" t="str">
        <f>IF(K48&lt;=10, "Baixo", IF(K48&lt;=25, "Médio", "Alto"))</f>
        <v>Alto</v>
      </c>
      <c r="M48" s="25" t="str">
        <f>IF(AND(L48="Alto", J48="Sim"), "Negada", "Passa")</f>
        <v>Passa</v>
      </c>
      <c r="N48" s="25" t="str">
        <f>IF(AND(I48&gt;50000, J48="Sim"), "Negada", "Passa")</f>
        <v>Passa</v>
      </c>
      <c r="O48" s="39">
        <v>28500</v>
      </c>
      <c r="P48" s="43">
        <f t="shared" si="0"/>
        <v>30780.000000000004</v>
      </c>
    </row>
    <row r="49" spans="1:16">
      <c r="A49" s="10" t="s">
        <v>39</v>
      </c>
      <c r="B49" s="11" t="s">
        <v>183</v>
      </c>
      <c r="C49" s="11" t="s">
        <v>184</v>
      </c>
      <c r="D49" s="12">
        <v>68</v>
      </c>
      <c r="E49" s="13" t="s">
        <v>185</v>
      </c>
      <c r="F49" s="11" t="s">
        <v>60</v>
      </c>
      <c r="G49" s="11" t="s">
        <v>61</v>
      </c>
      <c r="H49" s="35">
        <v>3800</v>
      </c>
      <c r="I49" s="35">
        <v>51000</v>
      </c>
      <c r="J49" s="11" t="s">
        <v>23</v>
      </c>
      <c r="K49" s="14">
        <v>10</v>
      </c>
      <c r="L49" s="11" t="str">
        <f>IF(K49&lt;=10, "Baixo", IF(K49&lt;=25, "Médio", "Alto"))</f>
        <v>Baixo</v>
      </c>
      <c r="M49" s="25" t="str">
        <f>IF(AND(L49="Alto", J49="Sim"), "Negada", "Passa")</f>
        <v>Passa</v>
      </c>
      <c r="N49" s="25" t="str">
        <f>IF(AND(I49&gt;50000, J49="Sim"), "Negada", "Passa")</f>
        <v>Passa</v>
      </c>
      <c r="O49" s="39">
        <v>90500</v>
      </c>
      <c r="P49" s="43">
        <f t="shared" si="0"/>
        <v>0</v>
      </c>
    </row>
    <row r="50" spans="1:16">
      <c r="A50" s="10" t="s">
        <v>17</v>
      </c>
      <c r="B50" s="11" t="s">
        <v>186</v>
      </c>
      <c r="C50" s="11" t="s">
        <v>187</v>
      </c>
      <c r="D50" s="12">
        <v>39</v>
      </c>
      <c r="E50" s="13" t="s">
        <v>188</v>
      </c>
      <c r="F50" s="11" t="s">
        <v>128</v>
      </c>
      <c r="G50" s="11" t="s">
        <v>28</v>
      </c>
      <c r="H50" s="35">
        <v>24700</v>
      </c>
      <c r="I50" s="35"/>
      <c r="J50" s="11" t="s">
        <v>35</v>
      </c>
      <c r="K50" s="14">
        <v>11</v>
      </c>
      <c r="L50" s="11" t="str">
        <f>IF(K50&lt;=10, "Baixo", IF(K50&lt;=25, "Médio", "Alto"))</f>
        <v>Médio</v>
      </c>
      <c r="M50" s="25" t="str">
        <f>IF(AND(L50="Alto", J50="Sim"), "Negada", "Passa")</f>
        <v>Passa</v>
      </c>
      <c r="N50" s="25" t="str">
        <f>IF(AND(I50&gt;50000, J50="Sim"), "Negada", "Passa")</f>
        <v>Passa</v>
      </c>
      <c r="O50" s="39">
        <v>75500</v>
      </c>
      <c r="P50" s="43">
        <f t="shared" si="0"/>
        <v>81540</v>
      </c>
    </row>
    <row r="51" spans="1:16">
      <c r="A51" s="10" t="s">
        <v>17</v>
      </c>
      <c r="B51" s="11" t="s">
        <v>189</v>
      </c>
      <c r="C51" s="11" t="s">
        <v>190</v>
      </c>
      <c r="D51" s="12">
        <v>59</v>
      </c>
      <c r="E51" s="13" t="s">
        <v>191</v>
      </c>
      <c r="F51" s="11" t="s">
        <v>192</v>
      </c>
      <c r="G51" s="11" t="s">
        <v>193</v>
      </c>
      <c r="H51" s="35">
        <v>6600</v>
      </c>
      <c r="I51" s="35">
        <v>44500</v>
      </c>
      <c r="J51" s="11" t="s">
        <v>23</v>
      </c>
      <c r="K51" s="14">
        <v>45</v>
      </c>
      <c r="L51" s="11" t="str">
        <f>IF(K51&lt;=10, "Baixo", IF(K51&lt;=25, "Médio", "Alto"))</f>
        <v>Alto</v>
      </c>
      <c r="M51" s="25" t="str">
        <f>IF(AND(L51="Alto", J51="Sim"), "Negada", "Passa")</f>
        <v>Passa</v>
      </c>
      <c r="N51" s="25" t="str">
        <f>IF(AND(I51&gt;50000, J51="Sim"), "Negada", "Passa")</f>
        <v>Passa</v>
      </c>
      <c r="O51" s="39">
        <v>3000</v>
      </c>
      <c r="P51" s="43">
        <f t="shared" si="0"/>
        <v>3240</v>
      </c>
    </row>
    <row r="52" spans="1:16">
      <c r="A52" s="10" t="s">
        <v>17</v>
      </c>
      <c r="B52" s="11" t="s">
        <v>194</v>
      </c>
      <c r="C52" s="11" t="s">
        <v>195</v>
      </c>
      <c r="D52" s="12">
        <v>44</v>
      </c>
      <c r="E52" s="13" t="s">
        <v>196</v>
      </c>
      <c r="F52" s="11" t="s">
        <v>115</v>
      </c>
      <c r="G52" s="11" t="s">
        <v>116</v>
      </c>
      <c r="H52" s="35">
        <v>5300</v>
      </c>
      <c r="I52" s="35">
        <v>48500</v>
      </c>
      <c r="J52" s="11" t="s">
        <v>35</v>
      </c>
      <c r="K52" s="14"/>
      <c r="L52" s="11" t="str">
        <f>IF(K52&lt;=10, "Baixo", IF(K52&lt;=25, "Médio", "Alto"))</f>
        <v>Baixo</v>
      </c>
      <c r="M52" s="25" t="str">
        <f>IF(AND(L52="Alto", J52="Sim"), "Negada", "Passa")</f>
        <v>Passa</v>
      </c>
      <c r="N52" s="25" t="str">
        <f>IF(AND(I52&gt;50000, J52="Sim"), "Negada", "Passa")</f>
        <v>Passa</v>
      </c>
      <c r="O52" s="39"/>
      <c r="P52" s="43">
        <f t="shared" si="0"/>
        <v>0</v>
      </c>
    </row>
    <row r="53" spans="1:16">
      <c r="A53" s="10" t="s">
        <v>39</v>
      </c>
      <c r="B53" s="11" t="s">
        <v>197</v>
      </c>
      <c r="C53" s="11" t="s">
        <v>198</v>
      </c>
      <c r="D53" s="12">
        <v>48</v>
      </c>
      <c r="E53" s="13" t="s">
        <v>199</v>
      </c>
      <c r="F53" s="11" t="s">
        <v>92</v>
      </c>
      <c r="G53" s="11" t="s">
        <v>93</v>
      </c>
      <c r="H53" s="35">
        <v>6900</v>
      </c>
      <c r="I53" s="35">
        <v>43500</v>
      </c>
      <c r="J53" s="11" t="s">
        <v>23</v>
      </c>
      <c r="K53" s="14">
        <v>27</v>
      </c>
      <c r="L53" s="11" t="str">
        <f>IF(K53&lt;=10, "Baixo", IF(K53&lt;=25, "Médio", "Alto"))</f>
        <v>Alto</v>
      </c>
      <c r="M53" s="25" t="str">
        <f>IF(AND(L53="Alto", J53="Sim"), "Negada", "Passa")</f>
        <v>Passa</v>
      </c>
      <c r="N53" s="25" t="str">
        <f>IF(AND(I53&gt;50000, J53="Sim"), "Negada", "Passa")</f>
        <v>Passa</v>
      </c>
      <c r="O53" s="39">
        <v>23500</v>
      </c>
      <c r="P53" s="43">
        <f t="shared" si="0"/>
        <v>0</v>
      </c>
    </row>
    <row r="54" spans="1:16">
      <c r="A54" s="10" t="s">
        <v>17</v>
      </c>
      <c r="B54" s="11" t="s">
        <v>200</v>
      </c>
      <c r="C54" s="11" t="s">
        <v>201</v>
      </c>
      <c r="D54" s="12">
        <v>43</v>
      </c>
      <c r="E54" s="13" t="s">
        <v>202</v>
      </c>
      <c r="F54" s="11" t="s">
        <v>192</v>
      </c>
      <c r="G54" s="11" t="s">
        <v>193</v>
      </c>
      <c r="H54" s="35">
        <v>18400</v>
      </c>
      <c r="I54" s="35">
        <v>66500</v>
      </c>
      <c r="J54" s="11" t="s">
        <v>29</v>
      </c>
      <c r="K54" s="14">
        <v>38</v>
      </c>
      <c r="L54" s="11" t="str">
        <f>IF(K54&lt;=10, "Baixo", IF(K54&lt;=25, "Médio", "Alto"))</f>
        <v>Alto</v>
      </c>
      <c r="M54" s="25" t="str">
        <f>IF(AND(L54="Alto", J54="Sim"), "Negada", "Passa")</f>
        <v>Negada</v>
      </c>
      <c r="N54" s="25" t="str">
        <f>IF(AND(I54&gt;50000, J54="Sim"), "Negada", "Passa")</f>
        <v>Negada</v>
      </c>
      <c r="O54" s="39">
        <v>42500</v>
      </c>
      <c r="P54" s="43">
        <f t="shared" si="0"/>
        <v>0</v>
      </c>
    </row>
    <row r="55" spans="1:16">
      <c r="A55" s="10" t="s">
        <v>17</v>
      </c>
      <c r="B55" s="11" t="s">
        <v>203</v>
      </c>
      <c r="C55" s="11" t="s">
        <v>204</v>
      </c>
      <c r="D55" s="12">
        <v>26</v>
      </c>
      <c r="E55" s="13" t="s">
        <v>205</v>
      </c>
      <c r="F55" s="11" t="s">
        <v>206</v>
      </c>
      <c r="G55" s="11" t="s">
        <v>34</v>
      </c>
      <c r="H55" s="35">
        <v>26800</v>
      </c>
      <c r="I55" s="35"/>
      <c r="J55" s="11" t="s">
        <v>23</v>
      </c>
      <c r="K55" s="14">
        <v>21</v>
      </c>
      <c r="L55" s="11" t="str">
        <f>IF(K55&lt;=10, "Baixo", IF(K55&lt;=25, "Médio", "Alto"))</f>
        <v>Médio</v>
      </c>
      <c r="M55" s="25" t="str">
        <f>IF(AND(L55="Alto", J55="Sim"), "Negada", "Passa")</f>
        <v>Passa</v>
      </c>
      <c r="N55" s="25" t="str">
        <f>IF(AND(I55&gt;50000, J55="Sim"), "Negada", "Passa")</f>
        <v>Passa</v>
      </c>
      <c r="O55" s="39">
        <v>61500</v>
      </c>
      <c r="P55" s="43">
        <f t="shared" si="0"/>
        <v>66420</v>
      </c>
    </row>
    <row r="56" spans="1:16">
      <c r="A56" s="10" t="s">
        <v>17</v>
      </c>
      <c r="B56" s="11" t="s">
        <v>207</v>
      </c>
      <c r="C56" s="11" t="s">
        <v>208</v>
      </c>
      <c r="D56" s="12">
        <v>68</v>
      </c>
      <c r="E56" s="13" t="s">
        <v>209</v>
      </c>
      <c r="F56" s="11" t="s">
        <v>192</v>
      </c>
      <c r="G56" s="11" t="s">
        <v>193</v>
      </c>
      <c r="H56" s="35">
        <v>3600</v>
      </c>
      <c r="I56" s="35">
        <v>52000</v>
      </c>
      <c r="J56" s="11" t="s">
        <v>23</v>
      </c>
      <c r="K56" s="14">
        <v>30</v>
      </c>
      <c r="L56" s="11" t="str">
        <f>IF(K56&lt;=10, "Baixo", IF(K56&lt;=25, "Médio", "Alto"))</f>
        <v>Alto</v>
      </c>
      <c r="M56" s="25" t="str">
        <f>IF(AND(L56="Alto", J56="Sim"), "Negada", "Passa")</f>
        <v>Passa</v>
      </c>
      <c r="N56" s="25" t="str">
        <f>IF(AND(I56&gt;50000, J56="Sim"), "Negada", "Passa")</f>
        <v>Passa</v>
      </c>
      <c r="O56" s="39">
        <v>62500</v>
      </c>
      <c r="P56" s="43">
        <f t="shared" si="0"/>
        <v>67500</v>
      </c>
    </row>
    <row r="57" spans="1:16">
      <c r="A57" s="10" t="s">
        <v>17</v>
      </c>
      <c r="B57" s="11" t="s">
        <v>210</v>
      </c>
      <c r="C57" s="11" t="s">
        <v>211</v>
      </c>
      <c r="D57" s="12">
        <v>49</v>
      </c>
      <c r="E57" s="13" t="s">
        <v>35</v>
      </c>
      <c r="F57" s="15" t="s">
        <v>212</v>
      </c>
      <c r="G57" s="11" t="s">
        <v>28</v>
      </c>
      <c r="H57" s="35">
        <v>20300</v>
      </c>
      <c r="I57" s="35">
        <v>3500</v>
      </c>
      <c r="J57" s="11" t="s">
        <v>23</v>
      </c>
      <c r="K57" s="14">
        <v>19</v>
      </c>
      <c r="L57" s="11" t="str">
        <f>IF(K57&lt;=10, "Baixo", IF(K57&lt;=25, "Médio", "Alto"))</f>
        <v>Médio</v>
      </c>
      <c r="M57" s="25" t="str">
        <f>IF(AND(L57="Alto", J57="Sim"), "Negada", "Passa")</f>
        <v>Passa</v>
      </c>
      <c r="N57" s="25" t="str">
        <f>IF(AND(I57&gt;50000, J57="Sim"), "Negada", "Passa")</f>
        <v>Passa</v>
      </c>
      <c r="O57" s="39">
        <v>62000</v>
      </c>
      <c r="P57" s="43">
        <f t="shared" si="0"/>
        <v>66960</v>
      </c>
    </row>
    <row r="58" spans="1:16">
      <c r="A58" s="10" t="s">
        <v>17</v>
      </c>
      <c r="B58" s="11" t="s">
        <v>213</v>
      </c>
      <c r="C58" s="11" t="s">
        <v>214</v>
      </c>
      <c r="D58" s="12">
        <v>49</v>
      </c>
      <c r="E58" s="13" t="s">
        <v>215</v>
      </c>
      <c r="F58" s="11" t="s">
        <v>27</v>
      </c>
      <c r="G58" s="11" t="s">
        <v>28</v>
      </c>
      <c r="H58" s="35">
        <v>20300</v>
      </c>
      <c r="I58" s="35">
        <v>3500</v>
      </c>
      <c r="J58" s="11" t="s">
        <v>23</v>
      </c>
      <c r="K58" s="14">
        <v>1</v>
      </c>
      <c r="L58" s="11" t="str">
        <f>IF(K58&lt;=10, "Baixo", IF(K58&lt;=25, "Médio", "Alto"))</f>
        <v>Baixo</v>
      </c>
      <c r="M58" s="25" t="str">
        <f>IF(AND(L58="Alto", J58="Sim"), "Negada", "Passa")</f>
        <v>Passa</v>
      </c>
      <c r="N58" s="25" t="str">
        <f>IF(AND(I58&gt;50000, J58="Sim"), "Negada", "Passa")</f>
        <v>Passa</v>
      </c>
      <c r="O58" s="39">
        <v>23500</v>
      </c>
      <c r="P58" s="43">
        <f t="shared" si="0"/>
        <v>25380</v>
      </c>
    </row>
    <row r="59" spans="1:16">
      <c r="A59" s="10" t="s">
        <v>17</v>
      </c>
      <c r="B59" s="11" t="s">
        <v>216</v>
      </c>
      <c r="C59" s="11" t="s">
        <v>217</v>
      </c>
      <c r="D59" s="12">
        <v>35</v>
      </c>
      <c r="E59" s="13" t="s">
        <v>35</v>
      </c>
      <c r="F59" s="11" t="s">
        <v>128</v>
      </c>
      <c r="G59" s="11" t="s">
        <v>28</v>
      </c>
      <c r="H59" s="35">
        <v>28000</v>
      </c>
      <c r="I59" s="35"/>
      <c r="J59" s="11" t="s">
        <v>35</v>
      </c>
      <c r="K59" s="14"/>
      <c r="L59" s="11" t="str">
        <f>IF(K59&lt;=10, "Baixo", IF(K59&lt;=25, "Médio", "Alto"))</f>
        <v>Baixo</v>
      </c>
      <c r="M59" s="25" t="str">
        <f>IF(AND(L59="Alto", J59="Sim"), "Negada", "Passa")</f>
        <v>Passa</v>
      </c>
      <c r="N59" s="25" t="str">
        <f>IF(AND(I59&gt;50000, J59="Sim"), "Negada", "Passa")</f>
        <v>Passa</v>
      </c>
      <c r="O59" s="39"/>
      <c r="P59" s="43">
        <f t="shared" si="0"/>
        <v>0</v>
      </c>
    </row>
    <row r="60" spans="1:16">
      <c r="A60" s="10" t="s">
        <v>39</v>
      </c>
      <c r="B60" s="11" t="s">
        <v>218</v>
      </c>
      <c r="C60" s="11" t="s">
        <v>219</v>
      </c>
      <c r="D60" s="12">
        <v>69</v>
      </c>
      <c r="E60" s="13" t="s">
        <v>220</v>
      </c>
      <c r="F60" s="11" t="s">
        <v>55</v>
      </c>
      <c r="G60" s="11" t="s">
        <v>56</v>
      </c>
      <c r="H60" s="35">
        <v>16000</v>
      </c>
      <c r="I60" s="35">
        <v>16500</v>
      </c>
      <c r="J60" s="11" t="s">
        <v>23</v>
      </c>
      <c r="K60" s="14">
        <v>22</v>
      </c>
      <c r="L60" s="11" t="str">
        <f>IF(K60&lt;=10, "Baixo", IF(K60&lt;=25, "Médio", "Alto"))</f>
        <v>Médio</v>
      </c>
      <c r="M60" s="25" t="str">
        <f>IF(AND(L60="Alto", J60="Sim"), "Negada", "Passa")</f>
        <v>Passa</v>
      </c>
      <c r="N60" s="25" t="str">
        <f>IF(AND(I60&gt;50000, J60="Sim"), "Negada", "Passa")</f>
        <v>Passa</v>
      </c>
      <c r="O60" s="39">
        <v>34500</v>
      </c>
      <c r="P60" s="43">
        <f t="shared" si="0"/>
        <v>0</v>
      </c>
    </row>
    <row r="61" spans="1:16">
      <c r="A61" s="10" t="s">
        <v>17</v>
      </c>
      <c r="B61" s="11" t="s">
        <v>221</v>
      </c>
      <c r="C61" s="11" t="s">
        <v>222</v>
      </c>
      <c r="D61" s="12">
        <v>61</v>
      </c>
      <c r="E61" s="13" t="s">
        <v>223</v>
      </c>
      <c r="F61" s="11" t="s">
        <v>50</v>
      </c>
      <c r="G61" s="11" t="s">
        <v>51</v>
      </c>
      <c r="H61" s="35">
        <v>22900</v>
      </c>
      <c r="I61" s="35"/>
      <c r="J61" s="11" t="s">
        <v>23</v>
      </c>
      <c r="K61" s="14">
        <v>23</v>
      </c>
      <c r="L61" s="11" t="str">
        <f>IF(K61&lt;=10, "Baixo", IF(K61&lt;=25, "Médio", "Alto"))</f>
        <v>Médio</v>
      </c>
      <c r="M61" s="25" t="str">
        <f>IF(AND(L61="Alto", J61="Sim"), "Negada", "Passa")</f>
        <v>Passa</v>
      </c>
      <c r="N61" s="25" t="str">
        <f>IF(AND(I61&gt;50000, J61="Sim"), "Negada", "Passa")</f>
        <v>Passa</v>
      </c>
      <c r="O61" s="39">
        <v>68000</v>
      </c>
      <c r="P61" s="43">
        <f t="shared" si="0"/>
        <v>73440</v>
      </c>
    </row>
    <row r="62" spans="1:16">
      <c r="A62" s="10" t="s">
        <v>17</v>
      </c>
      <c r="B62" s="11" t="s">
        <v>224</v>
      </c>
      <c r="C62" s="11" t="s">
        <v>225</v>
      </c>
      <c r="D62" s="12">
        <v>30</v>
      </c>
      <c r="E62" s="13" t="s">
        <v>226</v>
      </c>
      <c r="F62" s="11" t="s">
        <v>97</v>
      </c>
      <c r="G62" s="11" t="s">
        <v>56</v>
      </c>
      <c r="H62" s="35">
        <v>13800</v>
      </c>
      <c r="I62" s="35">
        <v>70000</v>
      </c>
      <c r="J62" s="15" t="s">
        <v>29</v>
      </c>
      <c r="K62" s="14">
        <v>14</v>
      </c>
      <c r="L62" s="11" t="str">
        <f>IF(K62&lt;=10, "Baixo", IF(K62&lt;=25, "Médio", "Alto"))</f>
        <v>Médio</v>
      </c>
      <c r="M62" s="25" t="str">
        <f>IF(AND(L62="Alto", J62="Sim"), "Negada", "Passa")</f>
        <v>Passa</v>
      </c>
      <c r="N62" s="25" t="str">
        <f>IF(AND(I62&gt;50000, J62="Sim"), "Negada", "Passa")</f>
        <v>Negada</v>
      </c>
      <c r="O62" s="39">
        <v>25500</v>
      </c>
      <c r="P62" s="43">
        <f t="shared" si="0"/>
        <v>0</v>
      </c>
    </row>
    <row r="63" spans="1:16">
      <c r="A63" s="10" t="s">
        <v>35</v>
      </c>
      <c r="B63" s="11" t="s">
        <v>227</v>
      </c>
      <c r="C63" s="11" t="s">
        <v>228</v>
      </c>
      <c r="D63" s="12">
        <v>56</v>
      </c>
      <c r="E63" s="13" t="s">
        <v>229</v>
      </c>
      <c r="F63" s="11" t="s">
        <v>135</v>
      </c>
      <c r="G63" s="11" t="s">
        <v>93</v>
      </c>
      <c r="H63" s="35">
        <v>11100</v>
      </c>
      <c r="I63" s="35">
        <v>73500</v>
      </c>
      <c r="J63" s="11" t="s">
        <v>35</v>
      </c>
      <c r="K63" s="14"/>
      <c r="L63" s="11" t="str">
        <f>IF(K63&lt;=10, "Baixo", IF(K63&lt;=25, "Médio", "Alto"))</f>
        <v>Baixo</v>
      </c>
      <c r="M63" s="25" t="str">
        <f>IF(AND(L63="Alto", J63="Sim"), "Negada", "Passa")</f>
        <v>Passa</v>
      </c>
      <c r="N63" s="25" t="str">
        <f>IF(AND(I63&gt;50000, J63="Sim"), "Negada", "Passa")</f>
        <v>Passa</v>
      </c>
      <c r="O63" s="39"/>
      <c r="P63" s="43">
        <f t="shared" si="0"/>
        <v>0</v>
      </c>
    </row>
    <row r="64" spans="1:16">
      <c r="A64" s="10" t="s">
        <v>17</v>
      </c>
      <c r="B64" s="11" t="s">
        <v>230</v>
      </c>
      <c r="C64" s="11" t="s">
        <v>231</v>
      </c>
      <c r="D64" s="12">
        <v>68</v>
      </c>
      <c r="E64" s="13" t="s">
        <v>232</v>
      </c>
      <c r="F64" s="11" t="s">
        <v>233</v>
      </c>
      <c r="G64" s="11" t="s">
        <v>234</v>
      </c>
      <c r="H64" s="35">
        <v>24500</v>
      </c>
      <c r="I64" s="35"/>
      <c r="J64" s="11" t="s">
        <v>35</v>
      </c>
      <c r="K64" s="14">
        <v>32</v>
      </c>
      <c r="L64" s="11" t="str">
        <f>IF(K64&lt;=10, "Baixo", IF(K64&lt;=25, "Médio", "Alto"))</f>
        <v>Alto</v>
      </c>
      <c r="M64" s="25" t="str">
        <f>IF(AND(L64="Alto", J64="Sim"), "Negada", "Passa")</f>
        <v>Passa</v>
      </c>
      <c r="N64" s="25" t="str">
        <f>IF(AND(I64&gt;50000, J64="Sim"), "Negada", "Passa")</f>
        <v>Passa</v>
      </c>
      <c r="O64" s="39">
        <v>61500</v>
      </c>
      <c r="P64" s="43">
        <f t="shared" si="0"/>
        <v>66420</v>
      </c>
    </row>
    <row r="65" spans="1:16">
      <c r="A65" s="10" t="s">
        <v>17</v>
      </c>
      <c r="B65" s="11" t="s">
        <v>235</v>
      </c>
      <c r="C65" s="11" t="s">
        <v>236</v>
      </c>
      <c r="D65" s="12">
        <v>60</v>
      </c>
      <c r="E65" s="13" t="s">
        <v>237</v>
      </c>
      <c r="F65" s="11" t="s">
        <v>192</v>
      </c>
      <c r="G65" s="11" t="s">
        <v>193</v>
      </c>
      <c r="H65" s="35">
        <v>13800</v>
      </c>
      <c r="I65" s="35">
        <v>70500</v>
      </c>
      <c r="J65" s="11" t="s">
        <v>23</v>
      </c>
      <c r="K65" s="14">
        <v>33</v>
      </c>
      <c r="L65" s="11" t="str">
        <f>IF(K65&lt;=10, "Baixo", IF(K65&lt;=25, "Médio", "Alto"))</f>
        <v>Alto</v>
      </c>
      <c r="M65" s="25" t="str">
        <f>IF(AND(L65="Alto", J65="Sim"), "Negada", "Passa")</f>
        <v>Passa</v>
      </c>
      <c r="N65" s="25" t="str">
        <f>IF(AND(I65&gt;50000, J65="Sim"), "Negada", "Passa")</f>
        <v>Passa</v>
      </c>
      <c r="O65" s="39">
        <v>78000</v>
      </c>
      <c r="P65" s="43">
        <f t="shared" si="0"/>
        <v>84240</v>
      </c>
    </row>
    <row r="66" spans="1:16">
      <c r="A66" s="10" t="s">
        <v>17</v>
      </c>
      <c r="B66" s="11" t="s">
        <v>238</v>
      </c>
      <c r="C66" s="11" t="s">
        <v>239</v>
      </c>
      <c r="D66" s="12">
        <v>33</v>
      </c>
      <c r="E66" s="13" t="s">
        <v>240</v>
      </c>
      <c r="F66" s="11" t="s">
        <v>50</v>
      </c>
      <c r="G66" s="11" t="s">
        <v>51</v>
      </c>
      <c r="H66" s="35">
        <v>29300</v>
      </c>
      <c r="I66" s="35"/>
      <c r="J66" s="11" t="s">
        <v>35</v>
      </c>
      <c r="K66" s="14"/>
      <c r="L66" s="11" t="str">
        <f>IF(K66&lt;=10, "Baixo", IF(K66&lt;=25, "Médio", "Alto"))</f>
        <v>Baixo</v>
      </c>
      <c r="M66" s="25" t="str">
        <f>IF(AND(L66="Alto", J66="Sim"), "Negada", "Passa")</f>
        <v>Passa</v>
      </c>
      <c r="N66" s="25" t="str">
        <f>IF(AND(I66&gt;50000, J66="Sim"), "Negada", "Passa")</f>
        <v>Passa</v>
      </c>
      <c r="O66" s="39"/>
      <c r="P66" s="43">
        <f t="shared" si="0"/>
        <v>0</v>
      </c>
    </row>
    <row r="67" spans="1:16">
      <c r="A67" s="10" t="s">
        <v>17</v>
      </c>
      <c r="B67" s="11" t="s">
        <v>241</v>
      </c>
      <c r="C67" s="11" t="s">
        <v>242</v>
      </c>
      <c r="D67" s="12">
        <v>63</v>
      </c>
      <c r="E67" s="13" t="s">
        <v>243</v>
      </c>
      <c r="F67" s="11" t="s">
        <v>55</v>
      </c>
      <c r="G67" s="11" t="s">
        <v>56</v>
      </c>
      <c r="H67" s="35">
        <v>11200</v>
      </c>
      <c r="I67" s="35">
        <v>32500</v>
      </c>
      <c r="J67" s="11" t="s">
        <v>29</v>
      </c>
      <c r="K67" s="14">
        <v>15</v>
      </c>
      <c r="L67" s="11" t="str">
        <f>IF(K67&lt;=10, "Baixo", IF(K67&lt;=25, "Médio", "Alto"))</f>
        <v>Médio</v>
      </c>
      <c r="M67" s="25" t="str">
        <f>IF(AND(L67="Alto", J67="Sim"), "Negada", "Passa")</f>
        <v>Passa</v>
      </c>
      <c r="N67" s="25" t="str">
        <f>IF(AND(I67&gt;50000, J67="Sim"), "Negada", "Passa")</f>
        <v>Passa</v>
      </c>
      <c r="O67" s="39">
        <v>8000</v>
      </c>
      <c r="P67" s="43">
        <f t="shared" ref="P67:P130" si="1">IF(OR(M67="Negada", N67="Negada"), 0, IF(A67="Ativo", O67*1.08, 0))</f>
        <v>8640</v>
      </c>
    </row>
    <row r="68" spans="1:16">
      <c r="A68" s="10" t="s">
        <v>17</v>
      </c>
      <c r="B68" s="11" t="s">
        <v>244</v>
      </c>
      <c r="C68" s="11" t="s">
        <v>245</v>
      </c>
      <c r="D68" s="12">
        <v>27</v>
      </c>
      <c r="E68" s="13" t="s">
        <v>246</v>
      </c>
      <c r="F68" s="11" t="s">
        <v>55</v>
      </c>
      <c r="G68" s="11" t="s">
        <v>56</v>
      </c>
      <c r="H68" s="35">
        <v>14000</v>
      </c>
      <c r="I68" s="35">
        <v>22000</v>
      </c>
      <c r="J68" s="11" t="s">
        <v>23</v>
      </c>
      <c r="K68" s="14">
        <v>10</v>
      </c>
      <c r="L68" s="11" t="str">
        <f>IF(K68&lt;=10, "Baixo", IF(K68&lt;=25, "Médio", "Alto"))</f>
        <v>Baixo</v>
      </c>
      <c r="M68" s="25" t="str">
        <f>IF(AND(L68="Alto", J68="Sim"), "Negada", "Passa")</f>
        <v>Passa</v>
      </c>
      <c r="N68" s="25" t="str">
        <f>IF(AND(I68&gt;50000, J68="Sim"), "Negada", "Passa")</f>
        <v>Passa</v>
      </c>
      <c r="O68" s="39">
        <v>97000</v>
      </c>
      <c r="P68" s="43">
        <f t="shared" si="1"/>
        <v>104760</v>
      </c>
    </row>
    <row r="69" spans="1:16">
      <c r="A69" s="10" t="s">
        <v>17</v>
      </c>
      <c r="B69" s="11" t="s">
        <v>247</v>
      </c>
      <c r="C69" s="11" t="s">
        <v>248</v>
      </c>
      <c r="D69" s="12">
        <v>64</v>
      </c>
      <c r="E69" s="13" t="s">
        <v>249</v>
      </c>
      <c r="F69" s="11" t="s">
        <v>206</v>
      </c>
      <c r="G69" s="11" t="s">
        <v>34</v>
      </c>
      <c r="H69" s="35">
        <v>2900</v>
      </c>
      <c r="I69" s="35">
        <v>78500</v>
      </c>
      <c r="J69" s="11" t="s">
        <v>23</v>
      </c>
      <c r="K69" s="14">
        <v>34</v>
      </c>
      <c r="L69" s="11" t="str">
        <f>IF(K69&lt;=10, "Baixo", IF(K69&lt;=25, "Médio", "Alto"))</f>
        <v>Alto</v>
      </c>
      <c r="M69" s="25" t="str">
        <f>IF(AND(L69="Alto", J69="Sim"), "Negada", "Passa")</f>
        <v>Passa</v>
      </c>
      <c r="N69" s="25" t="str">
        <f>IF(AND(I69&gt;50000, J69="Sim"), "Negada", "Passa")</f>
        <v>Passa</v>
      </c>
      <c r="O69" s="39">
        <v>23000</v>
      </c>
      <c r="P69" s="43">
        <f t="shared" si="1"/>
        <v>24840</v>
      </c>
    </row>
    <row r="70" spans="1:16">
      <c r="A70" s="10" t="s">
        <v>17</v>
      </c>
      <c r="B70" s="11" t="s">
        <v>250</v>
      </c>
      <c r="C70" s="11" t="s">
        <v>251</v>
      </c>
      <c r="D70" s="12">
        <v>70</v>
      </c>
      <c r="E70" s="13" t="s">
        <v>252</v>
      </c>
      <c r="F70" s="11" t="s">
        <v>82</v>
      </c>
      <c r="G70" s="11" t="s">
        <v>22</v>
      </c>
      <c r="H70" s="35">
        <v>19500</v>
      </c>
      <c r="I70" s="35">
        <v>5500</v>
      </c>
      <c r="J70" s="11" t="s">
        <v>23</v>
      </c>
      <c r="K70" s="14">
        <v>11</v>
      </c>
      <c r="L70" s="11" t="str">
        <f>IF(K70&lt;=10, "Baixo", IF(K70&lt;=25, "Médio", "Alto"))</f>
        <v>Médio</v>
      </c>
      <c r="M70" s="25" t="str">
        <f>IF(AND(L70="Alto", J70="Sim"), "Negada", "Passa")</f>
        <v>Passa</v>
      </c>
      <c r="N70" s="25" t="str">
        <f>IF(AND(I70&gt;50000, J70="Sim"), "Negada", "Passa")</f>
        <v>Passa</v>
      </c>
      <c r="O70" s="39">
        <v>56000</v>
      </c>
      <c r="P70" s="43">
        <f t="shared" si="1"/>
        <v>60480.000000000007</v>
      </c>
    </row>
    <row r="71" spans="1:16">
      <c r="A71" s="10" t="s">
        <v>17</v>
      </c>
      <c r="B71" s="11" t="s">
        <v>253</v>
      </c>
      <c r="C71" s="11" t="s">
        <v>254</v>
      </c>
      <c r="D71" s="12">
        <v>38</v>
      </c>
      <c r="E71" s="13" t="s">
        <v>255</v>
      </c>
      <c r="F71" s="11" t="s">
        <v>55</v>
      </c>
      <c r="G71" s="11" t="s">
        <v>56</v>
      </c>
      <c r="H71" s="35">
        <v>19500</v>
      </c>
      <c r="I71" s="35">
        <v>5500</v>
      </c>
      <c r="J71" s="11" t="s">
        <v>23</v>
      </c>
      <c r="K71" s="14">
        <v>23</v>
      </c>
      <c r="L71" s="11" t="str">
        <f>IF(K71&lt;=10, "Baixo", IF(K71&lt;=25, "Médio", "Alto"))</f>
        <v>Médio</v>
      </c>
      <c r="M71" s="25" t="str">
        <f>IF(AND(L71="Alto", J71="Sim"), "Negada", "Passa")</f>
        <v>Passa</v>
      </c>
      <c r="N71" s="25" t="str">
        <f>IF(AND(I71&gt;50000, J71="Sim"), "Negada", "Passa")</f>
        <v>Passa</v>
      </c>
      <c r="O71" s="39">
        <v>67000</v>
      </c>
      <c r="P71" s="43">
        <f t="shared" si="1"/>
        <v>72360</v>
      </c>
    </row>
    <row r="72" spans="1:16">
      <c r="A72" s="10" t="s">
        <v>39</v>
      </c>
      <c r="B72" s="11" t="s">
        <v>256</v>
      </c>
      <c r="C72" s="11" t="s">
        <v>257</v>
      </c>
      <c r="D72" s="12">
        <v>57</v>
      </c>
      <c r="E72" s="13" t="s">
        <v>258</v>
      </c>
      <c r="F72" s="11" t="s">
        <v>97</v>
      </c>
      <c r="G72" s="11" t="s">
        <v>56</v>
      </c>
      <c r="H72" s="35">
        <v>9500</v>
      </c>
      <c r="I72" s="35">
        <v>38000</v>
      </c>
      <c r="J72" s="15" t="s">
        <v>29</v>
      </c>
      <c r="K72" s="14">
        <v>41</v>
      </c>
      <c r="L72" s="11" t="str">
        <f>IF(K72&lt;=10, "Baixo", IF(K72&lt;=25, "Médio", "Alto"))</f>
        <v>Alto</v>
      </c>
      <c r="M72" s="25" t="str">
        <f>IF(AND(L72="Alto", J72="Sim"), "Negada", "Passa")</f>
        <v>Negada</v>
      </c>
      <c r="N72" s="25" t="str">
        <f>IF(AND(I72&gt;50000, J72="Sim"), "Negada", "Passa")</f>
        <v>Passa</v>
      </c>
      <c r="O72" s="39">
        <v>83500</v>
      </c>
      <c r="P72" s="43">
        <f t="shared" si="1"/>
        <v>0</v>
      </c>
    </row>
    <row r="73" spans="1:16">
      <c r="A73" s="10" t="s">
        <v>17</v>
      </c>
      <c r="B73" s="11" t="s">
        <v>259</v>
      </c>
      <c r="C73" s="11" t="s">
        <v>260</v>
      </c>
      <c r="D73" s="12">
        <v>24</v>
      </c>
      <c r="E73" s="13" t="s">
        <v>261</v>
      </c>
      <c r="F73" s="11" t="s">
        <v>46</v>
      </c>
      <c r="G73" s="11" t="s">
        <v>46</v>
      </c>
      <c r="H73" s="35">
        <v>25200</v>
      </c>
      <c r="I73" s="35"/>
      <c r="J73" s="11" t="s">
        <v>23</v>
      </c>
      <c r="K73" s="14">
        <v>38</v>
      </c>
      <c r="L73" s="11" t="str">
        <f>IF(K73&lt;=10, "Baixo", IF(K73&lt;=25, "Médio", "Alto"))</f>
        <v>Alto</v>
      </c>
      <c r="M73" s="25" t="str">
        <f>IF(AND(L73="Alto", J73="Sim"), "Negada", "Passa")</f>
        <v>Passa</v>
      </c>
      <c r="N73" s="25" t="str">
        <f>IF(AND(I73&gt;50000, J73="Sim"), "Negada", "Passa")</f>
        <v>Passa</v>
      </c>
      <c r="O73" s="39">
        <v>72000</v>
      </c>
      <c r="P73" s="43">
        <f t="shared" si="1"/>
        <v>77760</v>
      </c>
    </row>
    <row r="74" spans="1:16">
      <c r="A74" s="10" t="s">
        <v>39</v>
      </c>
      <c r="B74" s="11" t="s">
        <v>262</v>
      </c>
      <c r="C74" s="11" t="s">
        <v>263</v>
      </c>
      <c r="D74" s="12">
        <v>49</v>
      </c>
      <c r="E74" s="13" t="s">
        <v>264</v>
      </c>
      <c r="F74" s="11" t="s">
        <v>60</v>
      </c>
      <c r="G74" s="11" t="s">
        <v>61</v>
      </c>
      <c r="H74" s="35">
        <v>21900</v>
      </c>
      <c r="I74" s="35"/>
      <c r="J74" s="11" t="s">
        <v>23</v>
      </c>
      <c r="K74" s="14">
        <v>38</v>
      </c>
      <c r="L74" s="11" t="str">
        <f>IF(K74&lt;=10, "Baixo", IF(K74&lt;=25, "Médio", "Alto"))</f>
        <v>Alto</v>
      </c>
      <c r="M74" s="25" t="str">
        <f>IF(AND(L74="Alto", J74="Sim"), "Negada", "Passa")</f>
        <v>Passa</v>
      </c>
      <c r="N74" s="25" t="str">
        <f>IF(AND(I74&gt;50000, J74="Sim"), "Negada", "Passa")</f>
        <v>Passa</v>
      </c>
      <c r="O74" s="39">
        <v>44500</v>
      </c>
      <c r="P74" s="43">
        <f t="shared" si="1"/>
        <v>0</v>
      </c>
    </row>
    <row r="75" spans="1:16">
      <c r="A75" s="10" t="s">
        <v>17</v>
      </c>
      <c r="B75" s="11" t="s">
        <v>265</v>
      </c>
      <c r="C75" s="11" t="s">
        <v>266</v>
      </c>
      <c r="D75" s="12">
        <v>47</v>
      </c>
      <c r="E75" s="13" t="s">
        <v>267</v>
      </c>
      <c r="F75" s="11" t="s">
        <v>46</v>
      </c>
      <c r="G75" s="11" t="s">
        <v>46</v>
      </c>
      <c r="H75" s="35">
        <v>21300</v>
      </c>
      <c r="I75" s="35"/>
      <c r="J75" s="11" t="s">
        <v>23</v>
      </c>
      <c r="K75" s="14">
        <v>39</v>
      </c>
      <c r="L75" s="11" t="str">
        <f>IF(K75&lt;=10, "Baixo", IF(K75&lt;=25, "Médio", "Alto"))</f>
        <v>Alto</v>
      </c>
      <c r="M75" s="25" t="str">
        <f>IF(AND(L75="Alto", J75="Sim"), "Negada", "Passa")</f>
        <v>Passa</v>
      </c>
      <c r="N75" s="25" t="str">
        <f>IF(AND(I75&gt;50000, J75="Sim"), "Negada", "Passa")</f>
        <v>Passa</v>
      </c>
      <c r="O75" s="39">
        <v>75000</v>
      </c>
      <c r="P75" s="43">
        <f t="shared" si="1"/>
        <v>81000</v>
      </c>
    </row>
    <row r="76" spans="1:16">
      <c r="A76" s="10" t="s">
        <v>17</v>
      </c>
      <c r="B76" s="11" t="s">
        <v>268</v>
      </c>
      <c r="C76" s="11" t="s">
        <v>269</v>
      </c>
      <c r="D76" s="12">
        <v>25</v>
      </c>
      <c r="E76" s="13" t="s">
        <v>270</v>
      </c>
      <c r="F76" s="11" t="s">
        <v>71</v>
      </c>
      <c r="G76" s="11" t="s">
        <v>72</v>
      </c>
      <c r="H76" s="35">
        <v>28800</v>
      </c>
      <c r="I76" s="35">
        <v>59000</v>
      </c>
      <c r="J76" s="11" t="s">
        <v>271</v>
      </c>
      <c r="K76" s="14">
        <v>35</v>
      </c>
      <c r="L76" s="11" t="str">
        <f>IF(K76&lt;=10, "Baixo", IF(K76&lt;=25, "Médio", "Alto"))</f>
        <v>Alto</v>
      </c>
      <c r="M76" s="25" t="str">
        <f>IF(AND(L76="Alto", J76="Sim"), "Negada", "Passa")</f>
        <v>Negada</v>
      </c>
      <c r="N76" s="25" t="str">
        <f>IF(AND(I76&gt;50000, J76="Sim"), "Negada", "Passa")</f>
        <v>Negada</v>
      </c>
      <c r="O76" s="39">
        <v>39000</v>
      </c>
      <c r="P76" s="43">
        <f t="shared" si="1"/>
        <v>0</v>
      </c>
    </row>
    <row r="77" spans="1:16">
      <c r="A77" s="10" t="s">
        <v>17</v>
      </c>
      <c r="B77" s="11" t="s">
        <v>272</v>
      </c>
      <c r="C77" s="11" t="s">
        <v>273</v>
      </c>
      <c r="D77" s="12">
        <v>52</v>
      </c>
      <c r="E77" s="13" t="s">
        <v>274</v>
      </c>
      <c r="F77" s="11" t="s">
        <v>97</v>
      </c>
      <c r="G77" s="11" t="s">
        <v>56</v>
      </c>
      <c r="H77" s="35">
        <v>7300</v>
      </c>
      <c r="I77" s="35">
        <v>41500</v>
      </c>
      <c r="J77" s="11" t="s">
        <v>23</v>
      </c>
      <c r="K77" s="14">
        <v>18</v>
      </c>
      <c r="L77" s="11" t="str">
        <f>IF(K77&lt;=10, "Baixo", IF(K77&lt;=25, "Médio", "Alto"))</f>
        <v>Médio</v>
      </c>
      <c r="M77" s="25" t="str">
        <f>IF(AND(L77="Alto", J77="Sim"), "Negada", "Passa")</f>
        <v>Passa</v>
      </c>
      <c r="N77" s="25" t="str">
        <f>IF(AND(I77&gt;50000, J77="Sim"), "Negada", "Passa")</f>
        <v>Passa</v>
      </c>
      <c r="O77" s="39">
        <v>65000</v>
      </c>
      <c r="P77" s="43">
        <f t="shared" si="1"/>
        <v>70200</v>
      </c>
    </row>
    <row r="78" spans="1:16">
      <c r="A78" s="10" t="s">
        <v>39</v>
      </c>
      <c r="B78" s="11" t="s">
        <v>272</v>
      </c>
      <c r="C78" s="11" t="s">
        <v>275</v>
      </c>
      <c r="D78" s="12">
        <v>46</v>
      </c>
      <c r="E78" s="13" t="s">
        <v>276</v>
      </c>
      <c r="F78" s="11" t="s">
        <v>206</v>
      </c>
      <c r="G78" s="11" t="s">
        <v>34</v>
      </c>
      <c r="H78" s="35"/>
      <c r="I78" s="35"/>
      <c r="J78" s="11" t="s">
        <v>35</v>
      </c>
      <c r="K78" s="14"/>
      <c r="L78" s="11" t="str">
        <f>IF(K78&lt;=10, "Baixo", IF(K78&lt;=25, "Médio", "Alto"))</f>
        <v>Baixo</v>
      </c>
      <c r="M78" s="25" t="str">
        <f>IF(AND(L78="Alto", J78="Sim"), "Negada", "Passa")</f>
        <v>Passa</v>
      </c>
      <c r="N78" s="25" t="str">
        <f>IF(AND(I78&gt;50000, J78="Sim"), "Negada", "Passa")</f>
        <v>Passa</v>
      </c>
      <c r="O78" s="39"/>
      <c r="P78" s="43">
        <f t="shared" si="1"/>
        <v>0</v>
      </c>
    </row>
    <row r="79" spans="1:16">
      <c r="A79" s="10" t="s">
        <v>17</v>
      </c>
      <c r="B79" s="11" t="s">
        <v>277</v>
      </c>
      <c r="C79" s="11" t="s">
        <v>278</v>
      </c>
      <c r="D79" s="12">
        <v>62</v>
      </c>
      <c r="E79" s="13" t="s">
        <v>35</v>
      </c>
      <c r="F79" s="11" t="s">
        <v>27</v>
      </c>
      <c r="G79" s="11" t="s">
        <v>28</v>
      </c>
      <c r="H79" s="35">
        <v>1900</v>
      </c>
      <c r="I79" s="35">
        <v>56000</v>
      </c>
      <c r="J79" s="11" t="s">
        <v>23</v>
      </c>
      <c r="K79" s="14">
        <v>6</v>
      </c>
      <c r="L79" s="11" t="str">
        <f>IF(K79&lt;=10, "Baixo", IF(K79&lt;=25, "Médio", "Alto"))</f>
        <v>Baixo</v>
      </c>
      <c r="M79" s="25" t="str">
        <f>IF(AND(L79="Alto", J79="Sim"), "Negada", "Passa")</f>
        <v>Passa</v>
      </c>
      <c r="N79" s="25" t="str">
        <f>IF(AND(I79&gt;50000, J79="Sim"), "Negada", "Passa")</f>
        <v>Passa</v>
      </c>
      <c r="O79" s="39">
        <v>77000</v>
      </c>
      <c r="P79" s="43">
        <f t="shared" si="1"/>
        <v>83160</v>
      </c>
    </row>
    <row r="80" spans="1:16">
      <c r="A80" s="10" t="s">
        <v>17</v>
      </c>
      <c r="B80" s="11" t="s">
        <v>279</v>
      </c>
      <c r="C80" s="11" t="s">
        <v>280</v>
      </c>
      <c r="D80" s="12">
        <v>25</v>
      </c>
      <c r="E80" s="13" t="s">
        <v>281</v>
      </c>
      <c r="F80" s="11" t="s">
        <v>50</v>
      </c>
      <c r="G80" s="11" t="s">
        <v>51</v>
      </c>
      <c r="H80" s="35">
        <v>28200</v>
      </c>
      <c r="I80" s="35"/>
      <c r="J80" s="11" t="s">
        <v>35</v>
      </c>
      <c r="K80" s="14"/>
      <c r="L80" s="11" t="str">
        <f>IF(K80&lt;=10, "Baixo", IF(K80&lt;=25, "Médio", "Alto"))</f>
        <v>Baixo</v>
      </c>
      <c r="M80" s="25" t="str">
        <f>IF(AND(L80="Alto", J80="Sim"), "Negada", "Passa")</f>
        <v>Passa</v>
      </c>
      <c r="N80" s="25" t="str">
        <f>IF(AND(I80&gt;50000, J80="Sim"), "Negada", "Passa")</f>
        <v>Passa</v>
      </c>
      <c r="O80" s="39"/>
      <c r="P80" s="43">
        <f t="shared" si="1"/>
        <v>0</v>
      </c>
    </row>
    <row r="81" spans="1:16">
      <c r="A81" s="10" t="s">
        <v>39</v>
      </c>
      <c r="B81" s="11" t="s">
        <v>282</v>
      </c>
      <c r="C81" s="11" t="s">
        <v>283</v>
      </c>
      <c r="D81" s="12">
        <v>63</v>
      </c>
      <c r="E81" s="13" t="s">
        <v>284</v>
      </c>
      <c r="F81" s="11" t="s">
        <v>71</v>
      </c>
      <c r="G81" s="11" t="s">
        <v>72</v>
      </c>
      <c r="H81" s="35">
        <v>9300</v>
      </c>
      <c r="I81" s="35">
        <v>39000</v>
      </c>
      <c r="J81" s="11" t="s">
        <v>23</v>
      </c>
      <c r="K81" s="14">
        <v>25</v>
      </c>
      <c r="L81" s="11" t="str">
        <f>IF(K81&lt;=10, "Baixo", IF(K81&lt;=25, "Médio", "Alto"))</f>
        <v>Médio</v>
      </c>
      <c r="M81" s="25" t="str">
        <f>IF(AND(L81="Alto", J81="Sim"), "Negada", "Passa")</f>
        <v>Passa</v>
      </c>
      <c r="N81" s="25" t="str">
        <f>IF(AND(I81&gt;50000, J81="Sim"), "Negada", "Passa")</f>
        <v>Passa</v>
      </c>
      <c r="O81" s="39">
        <v>88500</v>
      </c>
      <c r="P81" s="43">
        <f t="shared" si="1"/>
        <v>0</v>
      </c>
    </row>
    <row r="82" spans="1:16">
      <c r="A82" s="10" t="s">
        <v>39</v>
      </c>
      <c r="B82" s="11" t="s">
        <v>285</v>
      </c>
      <c r="C82" s="11" t="s">
        <v>286</v>
      </c>
      <c r="D82" s="12">
        <v>60</v>
      </c>
      <c r="E82" s="13" t="s">
        <v>287</v>
      </c>
      <c r="F82" s="11" t="s">
        <v>115</v>
      </c>
      <c r="G82" s="11" t="s">
        <v>116</v>
      </c>
      <c r="H82" s="35">
        <v>10100</v>
      </c>
      <c r="I82" s="35">
        <v>36000</v>
      </c>
      <c r="J82" s="11" t="s">
        <v>23</v>
      </c>
      <c r="K82" s="14">
        <v>19</v>
      </c>
      <c r="L82" s="11" t="str">
        <f>IF(K82&lt;=10, "Baixo", IF(K82&lt;=25, "Médio", "Alto"))</f>
        <v>Médio</v>
      </c>
      <c r="M82" s="25" t="str">
        <f>IF(AND(L82="Alto", J82="Sim"), "Negada", "Passa")</f>
        <v>Passa</v>
      </c>
      <c r="N82" s="25" t="str">
        <f>IF(AND(I82&gt;50000, J82="Sim"), "Negada", "Passa")</f>
        <v>Passa</v>
      </c>
      <c r="O82" s="39">
        <v>37500</v>
      </c>
      <c r="P82" s="43">
        <f t="shared" si="1"/>
        <v>0</v>
      </c>
    </row>
    <row r="83" spans="1:16">
      <c r="A83" s="10" t="s">
        <v>17</v>
      </c>
      <c r="B83" s="11" t="s">
        <v>288</v>
      </c>
      <c r="C83" s="11" t="s">
        <v>289</v>
      </c>
      <c r="D83" s="12">
        <v>33</v>
      </c>
      <c r="E83" s="13" t="s">
        <v>290</v>
      </c>
      <c r="F83" s="11" t="s">
        <v>55</v>
      </c>
      <c r="G83" s="11" t="s">
        <v>56</v>
      </c>
      <c r="H83" s="35">
        <v>29700</v>
      </c>
      <c r="I83" s="35">
        <v>58000</v>
      </c>
      <c r="J83" s="11" t="s">
        <v>35</v>
      </c>
      <c r="K83" s="14">
        <v>5</v>
      </c>
      <c r="L83" s="11" t="str">
        <f>IF(K83&lt;=10, "Baixo", IF(K83&lt;=25, "Médio", "Alto"))</f>
        <v>Baixo</v>
      </c>
      <c r="M83" s="25" t="str">
        <f>IF(AND(L83="Alto", J83="Sim"), "Negada", "Passa")</f>
        <v>Passa</v>
      </c>
      <c r="N83" s="25" t="str">
        <f>IF(AND(I83&gt;50000, J83="Sim"), "Negada", "Passa")</f>
        <v>Passa</v>
      </c>
      <c r="O83" s="39">
        <v>26500</v>
      </c>
      <c r="P83" s="43">
        <f t="shared" si="1"/>
        <v>28620.000000000004</v>
      </c>
    </row>
    <row r="84" spans="1:16">
      <c r="A84" s="10" t="s">
        <v>39</v>
      </c>
      <c r="B84" s="11" t="s">
        <v>291</v>
      </c>
      <c r="C84" s="11" t="s">
        <v>292</v>
      </c>
      <c r="D84" s="12">
        <v>46</v>
      </c>
      <c r="E84" s="13" t="s">
        <v>293</v>
      </c>
      <c r="F84" s="11" t="s">
        <v>131</v>
      </c>
      <c r="G84" s="11" t="s">
        <v>56</v>
      </c>
      <c r="H84" s="35">
        <v>15000</v>
      </c>
      <c r="I84" s="35">
        <v>17500</v>
      </c>
      <c r="J84" s="11" t="s">
        <v>35</v>
      </c>
      <c r="K84" s="14"/>
      <c r="L84" s="11" t="str">
        <f>IF(K84&lt;=10, "Baixo", IF(K84&lt;=25, "Médio", "Alto"))</f>
        <v>Baixo</v>
      </c>
      <c r="M84" s="25" t="str">
        <f>IF(AND(L84="Alto", J84="Sim"), "Negada", "Passa")</f>
        <v>Passa</v>
      </c>
      <c r="N84" s="25" t="str">
        <f>IF(AND(I84&gt;50000, J84="Sim"), "Negada", "Passa")</f>
        <v>Passa</v>
      </c>
      <c r="O84" s="39"/>
      <c r="P84" s="43">
        <f t="shared" si="1"/>
        <v>0</v>
      </c>
    </row>
    <row r="85" spans="1:16">
      <c r="A85" s="10" t="s">
        <v>17</v>
      </c>
      <c r="B85" s="11" t="s">
        <v>294</v>
      </c>
      <c r="C85" s="11" t="s">
        <v>295</v>
      </c>
      <c r="D85" s="12">
        <v>32</v>
      </c>
      <c r="E85" s="13" t="s">
        <v>296</v>
      </c>
      <c r="F85" s="11" t="s">
        <v>46</v>
      </c>
      <c r="G85" s="11" t="s">
        <v>46</v>
      </c>
      <c r="H85" s="35">
        <v>9800</v>
      </c>
      <c r="I85" s="35">
        <v>36500</v>
      </c>
      <c r="J85" s="11" t="s">
        <v>23</v>
      </c>
      <c r="K85" s="14">
        <v>13</v>
      </c>
      <c r="L85" s="11" t="str">
        <f>IF(K85&lt;=10, "Baixo", IF(K85&lt;=25, "Médio", "Alto"))</f>
        <v>Médio</v>
      </c>
      <c r="M85" s="25" t="str">
        <f>IF(AND(L85="Alto", J85="Sim"), "Negada", "Passa")</f>
        <v>Passa</v>
      </c>
      <c r="N85" s="25" t="str">
        <f>IF(AND(I85&gt;50000, J85="Sim"), "Negada", "Passa")</f>
        <v>Passa</v>
      </c>
      <c r="O85" s="39">
        <v>5000</v>
      </c>
      <c r="P85" s="43">
        <f t="shared" si="1"/>
        <v>5400</v>
      </c>
    </row>
    <row r="86" spans="1:16">
      <c r="A86" s="10" t="s">
        <v>17</v>
      </c>
      <c r="B86" s="15" t="s">
        <v>297</v>
      </c>
      <c r="C86" s="11" t="s">
        <v>298</v>
      </c>
      <c r="D86" s="12">
        <v>70</v>
      </c>
      <c r="E86" s="13" t="s">
        <v>299</v>
      </c>
      <c r="F86" s="16" t="s">
        <v>82</v>
      </c>
      <c r="G86" s="11" t="s">
        <v>22</v>
      </c>
      <c r="H86" s="35">
        <v>1580000</v>
      </c>
      <c r="I86" s="35"/>
      <c r="J86" s="11" t="s">
        <v>35</v>
      </c>
      <c r="K86" s="14"/>
      <c r="L86" s="11" t="str">
        <f>IF(K86&lt;=10, "Baixo", IF(K86&lt;=25, "Médio", "Alto"))</f>
        <v>Baixo</v>
      </c>
      <c r="M86" s="25" t="str">
        <f>IF(AND(L86="Alto", J86="Sim"), "Negada", "Passa")</f>
        <v>Passa</v>
      </c>
      <c r="N86" s="25" t="str">
        <f>IF(AND(I86&gt;50000, J86="Sim"), "Negada", "Passa")</f>
        <v>Passa</v>
      </c>
      <c r="O86" s="39"/>
      <c r="P86" s="43">
        <f t="shared" si="1"/>
        <v>0</v>
      </c>
    </row>
    <row r="87" spans="1:16">
      <c r="A87" s="10" t="s">
        <v>17</v>
      </c>
      <c r="B87" s="11" t="s">
        <v>300</v>
      </c>
      <c r="C87" s="11" t="s">
        <v>301</v>
      </c>
      <c r="D87" s="12">
        <v>51</v>
      </c>
      <c r="E87" s="13" t="s">
        <v>302</v>
      </c>
      <c r="F87" s="11" t="s">
        <v>60</v>
      </c>
      <c r="G87" s="11" t="s">
        <v>61</v>
      </c>
      <c r="H87" s="35">
        <v>16300</v>
      </c>
      <c r="I87" s="35">
        <v>15500</v>
      </c>
      <c r="J87" s="11" t="s">
        <v>35</v>
      </c>
      <c r="K87" s="14">
        <v>2</v>
      </c>
      <c r="L87" s="11" t="str">
        <f>IF(K87&lt;=10, "Baixo", IF(K87&lt;=25, "Médio", "Alto"))</f>
        <v>Baixo</v>
      </c>
      <c r="M87" s="25" t="str">
        <f>IF(AND(L87="Alto", J87="Sim"), "Negada", "Passa")</f>
        <v>Passa</v>
      </c>
      <c r="N87" s="25" t="str">
        <f>IF(AND(I87&gt;50000, J87="Sim"), "Negada", "Passa")</f>
        <v>Passa</v>
      </c>
      <c r="O87" s="39">
        <v>2500</v>
      </c>
      <c r="P87" s="43">
        <f t="shared" si="1"/>
        <v>2700</v>
      </c>
    </row>
    <row r="88" spans="1:16">
      <c r="A88" s="10" t="s">
        <v>17</v>
      </c>
      <c r="B88" s="11" t="s">
        <v>303</v>
      </c>
      <c r="C88" s="11" t="s">
        <v>304</v>
      </c>
      <c r="D88" s="12">
        <v>72</v>
      </c>
      <c r="E88" s="17" t="s">
        <v>305</v>
      </c>
      <c r="F88" s="15" t="s">
        <v>306</v>
      </c>
      <c r="G88" s="11" t="s">
        <v>93</v>
      </c>
      <c r="H88" s="35">
        <v>10200</v>
      </c>
      <c r="I88" s="35">
        <v>36000</v>
      </c>
      <c r="J88" s="15" t="s">
        <v>23</v>
      </c>
      <c r="K88" s="14">
        <v>3</v>
      </c>
      <c r="L88" s="11" t="str">
        <f>IF(K88&lt;=10, "Baixo", IF(K88&lt;=25, "Médio", "Alto"))</f>
        <v>Baixo</v>
      </c>
      <c r="M88" s="25" t="str">
        <f>IF(AND(L88="Alto", J88="Sim"), "Negada", "Passa")</f>
        <v>Passa</v>
      </c>
      <c r="N88" s="25" t="str">
        <f>IF(AND(I88&gt;50000, J88="Sim"), "Negada", "Passa")</f>
        <v>Passa</v>
      </c>
      <c r="O88" s="39">
        <v>71500</v>
      </c>
      <c r="P88" s="43">
        <f t="shared" si="1"/>
        <v>77220</v>
      </c>
    </row>
    <row r="89" spans="1:16">
      <c r="A89" s="10" t="s">
        <v>17</v>
      </c>
      <c r="B89" s="11" t="s">
        <v>307</v>
      </c>
      <c r="C89" s="11" t="s">
        <v>308</v>
      </c>
      <c r="D89" s="12">
        <v>54</v>
      </c>
      <c r="E89" s="13" t="s">
        <v>309</v>
      </c>
      <c r="F89" s="11" t="s">
        <v>128</v>
      </c>
      <c r="G89" s="11" t="s">
        <v>28</v>
      </c>
      <c r="H89" s="35">
        <v>29700</v>
      </c>
      <c r="I89" s="35"/>
      <c r="J89" s="11" t="s">
        <v>35</v>
      </c>
      <c r="K89" s="14"/>
      <c r="L89" s="11" t="str">
        <f>IF(K89&lt;=10, "Baixo", IF(K89&lt;=25, "Médio", "Alto"))</f>
        <v>Baixo</v>
      </c>
      <c r="M89" s="25" t="str">
        <f>IF(AND(L89="Alto", J89="Sim"), "Negada", "Passa")</f>
        <v>Passa</v>
      </c>
      <c r="N89" s="25" t="str">
        <f>IF(AND(I89&gt;50000, J89="Sim"), "Negada", "Passa")</f>
        <v>Passa</v>
      </c>
      <c r="O89" s="39"/>
      <c r="P89" s="43">
        <f t="shared" si="1"/>
        <v>0</v>
      </c>
    </row>
    <row r="90" spans="1:16">
      <c r="A90" s="10" t="s">
        <v>17</v>
      </c>
      <c r="B90" s="11" t="s">
        <v>310</v>
      </c>
      <c r="C90" s="11" t="s">
        <v>311</v>
      </c>
      <c r="D90" s="12">
        <v>48</v>
      </c>
      <c r="E90" s="13" t="s">
        <v>312</v>
      </c>
      <c r="F90" s="11" t="s">
        <v>46</v>
      </c>
      <c r="G90" s="11" t="s">
        <v>46</v>
      </c>
      <c r="H90" s="35">
        <v>15800</v>
      </c>
      <c r="I90" s="35">
        <v>16500</v>
      </c>
      <c r="J90" s="11" t="s">
        <v>23</v>
      </c>
      <c r="K90" s="14">
        <v>25</v>
      </c>
      <c r="L90" s="11" t="str">
        <f>IF(K90&lt;=10, "Baixo", IF(K90&lt;=25, "Médio", "Alto"))</f>
        <v>Médio</v>
      </c>
      <c r="M90" s="25" t="str">
        <f>IF(AND(L90="Alto", J90="Sim"), "Negada", "Passa")</f>
        <v>Passa</v>
      </c>
      <c r="N90" s="25" t="str">
        <f>IF(AND(I90&gt;50000, J90="Sim"), "Negada", "Passa")</f>
        <v>Passa</v>
      </c>
      <c r="O90" s="39">
        <v>65500</v>
      </c>
      <c r="P90" s="43">
        <f t="shared" si="1"/>
        <v>70740</v>
      </c>
    </row>
    <row r="91" spans="1:16">
      <c r="A91" s="10" t="s">
        <v>17</v>
      </c>
      <c r="B91" s="11" t="s">
        <v>313</v>
      </c>
      <c r="C91" s="11" t="s">
        <v>314</v>
      </c>
      <c r="D91" s="12">
        <v>37</v>
      </c>
      <c r="E91" s="13" t="s">
        <v>315</v>
      </c>
      <c r="F91" s="11" t="s">
        <v>128</v>
      </c>
      <c r="G91" s="11" t="s">
        <v>28</v>
      </c>
      <c r="H91" s="35">
        <v>29200</v>
      </c>
      <c r="I91" s="35"/>
      <c r="J91" s="11" t="s">
        <v>35</v>
      </c>
      <c r="K91" s="14"/>
      <c r="L91" s="11" t="str">
        <f>IF(K91&lt;=10, "Baixo", IF(K91&lt;=25, "Médio", "Alto"))</f>
        <v>Baixo</v>
      </c>
      <c r="M91" s="25" t="str">
        <f>IF(AND(L91="Alto", J91="Sim"), "Negada", "Passa")</f>
        <v>Passa</v>
      </c>
      <c r="N91" s="25" t="str">
        <f>IF(AND(I91&gt;50000, J91="Sim"), "Negada", "Passa")</f>
        <v>Passa</v>
      </c>
      <c r="O91" s="39"/>
      <c r="P91" s="43">
        <f t="shared" si="1"/>
        <v>0</v>
      </c>
    </row>
    <row r="92" spans="1:16">
      <c r="A92" s="10" t="s">
        <v>17</v>
      </c>
      <c r="B92" s="11" t="s">
        <v>316</v>
      </c>
      <c r="C92" s="11" t="s">
        <v>317</v>
      </c>
      <c r="D92" s="12"/>
      <c r="E92" s="13" t="s">
        <v>318</v>
      </c>
      <c r="F92" s="11" t="s">
        <v>319</v>
      </c>
      <c r="G92" s="11" t="s">
        <v>56</v>
      </c>
      <c r="H92" s="35">
        <v>22500</v>
      </c>
      <c r="I92" s="35"/>
      <c r="J92" s="11" t="s">
        <v>23</v>
      </c>
      <c r="K92" s="14">
        <v>20</v>
      </c>
      <c r="L92" s="11" t="str">
        <f>IF(K92&lt;=10, "Baixo", IF(K92&lt;=25, "Médio", "Alto"))</f>
        <v>Médio</v>
      </c>
      <c r="M92" s="25" t="str">
        <f>IF(AND(L92="Alto", J92="Sim"), "Negada", "Passa")</f>
        <v>Passa</v>
      </c>
      <c r="N92" s="25" t="str">
        <f>IF(AND(I92&gt;50000, J92="Sim"), "Negada", "Passa")</f>
        <v>Passa</v>
      </c>
      <c r="O92" s="39">
        <v>19500</v>
      </c>
      <c r="P92" s="43">
        <f t="shared" si="1"/>
        <v>21060</v>
      </c>
    </row>
    <row r="93" spans="1:16">
      <c r="A93" s="10" t="s">
        <v>17</v>
      </c>
      <c r="B93" s="15" t="s">
        <v>320</v>
      </c>
      <c r="C93" s="11" t="s">
        <v>321</v>
      </c>
      <c r="D93" s="12">
        <v>31</v>
      </c>
      <c r="E93" s="13" t="s">
        <v>35</v>
      </c>
      <c r="F93" s="11" t="s">
        <v>60</v>
      </c>
      <c r="G93" s="11" t="s">
        <v>322</v>
      </c>
      <c r="H93" s="35">
        <v>20800</v>
      </c>
      <c r="I93" s="35">
        <v>1000</v>
      </c>
      <c r="J93" s="11" t="s">
        <v>23</v>
      </c>
      <c r="K93" s="14">
        <v>27</v>
      </c>
      <c r="L93" s="11" t="str">
        <f>IF(K93&lt;=10, "Baixo", IF(K93&lt;=25, "Médio", "Alto"))</f>
        <v>Alto</v>
      </c>
      <c r="M93" s="25" t="str">
        <f>IF(AND(L93="Alto", J93="Sim"), "Negada", "Passa")</f>
        <v>Passa</v>
      </c>
      <c r="N93" s="25" t="str">
        <f>IF(AND(I93&gt;50000, J93="Sim"), "Negada", "Passa")</f>
        <v>Passa</v>
      </c>
      <c r="O93" s="39">
        <v>50000</v>
      </c>
      <c r="P93" s="43">
        <f t="shared" si="1"/>
        <v>54000</v>
      </c>
    </row>
    <row r="94" spans="1:16">
      <c r="A94" s="10" t="s">
        <v>39</v>
      </c>
      <c r="B94" s="11" t="s">
        <v>323</v>
      </c>
      <c r="C94" s="11" t="s">
        <v>324</v>
      </c>
      <c r="D94" s="12">
        <v>65</v>
      </c>
      <c r="E94" s="13" t="s">
        <v>325</v>
      </c>
      <c r="F94" s="11" t="s">
        <v>71</v>
      </c>
      <c r="G94" s="11" t="s">
        <v>72</v>
      </c>
      <c r="H94" s="35">
        <v>3300</v>
      </c>
      <c r="I94" s="35">
        <v>53500</v>
      </c>
      <c r="J94" s="11" t="s">
        <v>35</v>
      </c>
      <c r="K94" s="14"/>
      <c r="L94" s="11" t="str">
        <f>IF(K94&lt;=10, "Baixo", IF(K94&lt;=25, "Médio", "Alto"))</f>
        <v>Baixo</v>
      </c>
      <c r="M94" s="25" t="str">
        <f>IF(AND(L94="Alto", J94="Sim"), "Negada", "Passa")</f>
        <v>Passa</v>
      </c>
      <c r="N94" s="25" t="str">
        <f>IF(AND(I94&gt;50000, J94="Sim"), "Negada", "Passa")</f>
        <v>Passa</v>
      </c>
      <c r="O94" s="39"/>
      <c r="P94" s="43">
        <f t="shared" si="1"/>
        <v>0</v>
      </c>
    </row>
    <row r="95" spans="1:16">
      <c r="A95" s="10" t="s">
        <v>17</v>
      </c>
      <c r="B95" s="11" t="s">
        <v>323</v>
      </c>
      <c r="C95" s="11" t="s">
        <v>326</v>
      </c>
      <c r="D95" s="12">
        <v>57</v>
      </c>
      <c r="E95" s="13" t="s">
        <v>35</v>
      </c>
      <c r="F95" s="11" t="s">
        <v>115</v>
      </c>
      <c r="G95" s="11" t="s">
        <v>116</v>
      </c>
      <c r="H95" s="35"/>
      <c r="I95" s="35"/>
      <c r="J95" s="15" t="s">
        <v>23</v>
      </c>
      <c r="K95" s="14"/>
      <c r="L95" s="11" t="str">
        <f>IF(K95&lt;=10, "Baixo", IF(K95&lt;=25, "Médio", "Alto"))</f>
        <v>Baixo</v>
      </c>
      <c r="M95" s="25" t="str">
        <f>IF(AND(L95="Alto", J95="Sim"), "Negada", "Passa")</f>
        <v>Passa</v>
      </c>
      <c r="N95" s="25" t="str">
        <f>IF(AND(I95&gt;50000, J95="Sim"), "Negada", "Passa")</f>
        <v>Passa</v>
      </c>
      <c r="O95" s="39">
        <v>28500</v>
      </c>
      <c r="P95" s="43">
        <f t="shared" si="1"/>
        <v>30780.000000000004</v>
      </c>
    </row>
    <row r="96" spans="1:16">
      <c r="A96" s="10" t="s">
        <v>39</v>
      </c>
      <c r="B96" s="11" t="s">
        <v>327</v>
      </c>
      <c r="C96" s="11" t="s">
        <v>328</v>
      </c>
      <c r="D96" s="12">
        <v>74</v>
      </c>
      <c r="E96" s="13" t="s">
        <v>329</v>
      </c>
      <c r="F96" s="11" t="s">
        <v>115</v>
      </c>
      <c r="G96" s="11" t="s">
        <v>116</v>
      </c>
      <c r="H96" s="35">
        <v>24000</v>
      </c>
      <c r="I96" s="35"/>
      <c r="J96" s="11" t="s">
        <v>29</v>
      </c>
      <c r="K96" s="14">
        <v>32</v>
      </c>
      <c r="L96" s="11" t="str">
        <f>IF(K96&lt;=10, "Baixo", IF(K96&lt;=25, "Médio", "Alto"))</f>
        <v>Alto</v>
      </c>
      <c r="M96" s="25" t="str">
        <f>IF(AND(L96="Alto", J96="Sim"), "Negada", "Passa")</f>
        <v>Negada</v>
      </c>
      <c r="N96" s="25" t="str">
        <f>IF(AND(I96&gt;50000, J96="Sim"), "Negada", "Passa")</f>
        <v>Passa</v>
      </c>
      <c r="O96" s="39">
        <v>56500</v>
      </c>
      <c r="P96" s="43">
        <f t="shared" si="1"/>
        <v>0</v>
      </c>
    </row>
    <row r="97" spans="1:16">
      <c r="A97" s="10" t="s">
        <v>39</v>
      </c>
      <c r="B97" s="11" t="s">
        <v>330</v>
      </c>
      <c r="C97" s="11" t="s">
        <v>331</v>
      </c>
      <c r="D97" s="12">
        <v>43</v>
      </c>
      <c r="E97" s="13" t="s">
        <v>332</v>
      </c>
      <c r="F97" s="11" t="s">
        <v>55</v>
      </c>
      <c r="G97" s="11" t="s">
        <v>56</v>
      </c>
      <c r="H97" s="35">
        <v>7100</v>
      </c>
      <c r="I97" s="35">
        <v>42500</v>
      </c>
      <c r="J97" s="11" t="s">
        <v>29</v>
      </c>
      <c r="K97" s="14">
        <v>26</v>
      </c>
      <c r="L97" s="11" t="str">
        <f>IF(K97&lt;=10, "Baixo", IF(K97&lt;=25, "Médio", "Alto"))</f>
        <v>Alto</v>
      </c>
      <c r="M97" s="25" t="str">
        <f>IF(AND(L97="Alto", J97="Sim"), "Negada", "Passa")</f>
        <v>Negada</v>
      </c>
      <c r="N97" s="25" t="str">
        <f>IF(AND(I97&gt;50000, J97="Sim"), "Negada", "Passa")</f>
        <v>Passa</v>
      </c>
      <c r="O97" s="39">
        <v>12500</v>
      </c>
      <c r="P97" s="43">
        <f t="shared" si="1"/>
        <v>0</v>
      </c>
    </row>
    <row r="98" spans="1:16">
      <c r="A98" s="10" t="s">
        <v>39</v>
      </c>
      <c r="B98" s="11" t="s">
        <v>333</v>
      </c>
      <c r="C98" s="11" t="s">
        <v>334</v>
      </c>
      <c r="D98" s="12">
        <v>31</v>
      </c>
      <c r="E98" s="13" t="s">
        <v>335</v>
      </c>
      <c r="F98" s="11" t="s">
        <v>82</v>
      </c>
      <c r="G98" s="11" t="s">
        <v>22</v>
      </c>
      <c r="H98" s="35">
        <v>18200</v>
      </c>
      <c r="I98" s="35">
        <v>67500</v>
      </c>
      <c r="J98" s="11" t="s">
        <v>23</v>
      </c>
      <c r="K98" s="14">
        <v>12</v>
      </c>
      <c r="L98" s="11" t="str">
        <f>IF(K98&lt;=10, "Baixo", IF(K98&lt;=25, "Médio", "Alto"))</f>
        <v>Médio</v>
      </c>
      <c r="M98" s="25" t="str">
        <f>IF(AND(L98="Alto", J98="Sim"), "Negada", "Passa")</f>
        <v>Passa</v>
      </c>
      <c r="N98" s="25" t="str">
        <f>IF(AND(I98&gt;50000, J98="Sim"), "Negada", "Passa")</f>
        <v>Passa</v>
      </c>
      <c r="O98" s="39">
        <v>97500</v>
      </c>
      <c r="P98" s="43">
        <f t="shared" si="1"/>
        <v>0</v>
      </c>
    </row>
    <row r="99" spans="1:16">
      <c r="A99" s="10" t="s">
        <v>39</v>
      </c>
      <c r="B99" s="11" t="s">
        <v>336</v>
      </c>
      <c r="C99" s="11" t="s">
        <v>337</v>
      </c>
      <c r="D99" s="12">
        <v>55</v>
      </c>
      <c r="E99" s="13" t="s">
        <v>338</v>
      </c>
      <c r="F99" s="11" t="s">
        <v>21</v>
      </c>
      <c r="G99" s="11" t="s">
        <v>22</v>
      </c>
      <c r="H99" s="35"/>
      <c r="I99" s="35"/>
      <c r="J99" s="11" t="s">
        <v>35</v>
      </c>
      <c r="K99" s="14"/>
      <c r="L99" s="11" t="str">
        <f>IF(K99&lt;=10, "Baixo", IF(K99&lt;=25, "Médio", "Alto"))</f>
        <v>Baixo</v>
      </c>
      <c r="M99" s="25" t="str">
        <f>IF(AND(L99="Alto", J99="Sim"), "Negada", "Passa")</f>
        <v>Passa</v>
      </c>
      <c r="N99" s="25" t="str">
        <f>IF(AND(I99&gt;50000, J99="Sim"), "Negada", "Passa")</f>
        <v>Passa</v>
      </c>
      <c r="O99" s="39"/>
      <c r="P99" s="43">
        <f t="shared" si="1"/>
        <v>0</v>
      </c>
    </row>
    <row r="100" spans="1:16">
      <c r="A100" s="10" t="s">
        <v>17</v>
      </c>
      <c r="B100" s="11" t="s">
        <v>339</v>
      </c>
      <c r="C100" s="11" t="s">
        <v>340</v>
      </c>
      <c r="D100" s="12">
        <v>47</v>
      </c>
      <c r="E100" s="13" t="s">
        <v>341</v>
      </c>
      <c r="F100" s="11" t="s">
        <v>192</v>
      </c>
      <c r="G100" s="11" t="s">
        <v>193</v>
      </c>
      <c r="H100" s="35">
        <v>22700</v>
      </c>
      <c r="I100" s="35"/>
      <c r="J100" s="11" t="s">
        <v>23</v>
      </c>
      <c r="K100" s="14">
        <v>41</v>
      </c>
      <c r="L100" s="11" t="str">
        <f>IF(K100&lt;=10, "Baixo", IF(K100&lt;=25, "Médio", "Alto"))</f>
        <v>Alto</v>
      </c>
      <c r="M100" s="25" t="str">
        <f>IF(AND(L100="Alto", J100="Sim"), "Negada", "Passa")</f>
        <v>Passa</v>
      </c>
      <c r="N100" s="25" t="str">
        <f>IF(AND(I100&gt;50000, J100="Sim"), "Negada", "Passa")</f>
        <v>Passa</v>
      </c>
      <c r="O100" s="39">
        <v>54500</v>
      </c>
      <c r="P100" s="43">
        <f t="shared" si="1"/>
        <v>58860.000000000007</v>
      </c>
    </row>
    <row r="101" spans="1:16">
      <c r="A101" s="10" t="s">
        <v>17</v>
      </c>
      <c r="B101" s="11" t="s">
        <v>342</v>
      </c>
      <c r="C101" s="11" t="s">
        <v>343</v>
      </c>
      <c r="D101" s="12">
        <v>26</v>
      </c>
      <c r="E101" s="13" t="s">
        <v>344</v>
      </c>
      <c r="F101" s="11" t="s">
        <v>33</v>
      </c>
      <c r="G101" s="11" t="s">
        <v>34</v>
      </c>
      <c r="H101" s="35">
        <v>9200</v>
      </c>
      <c r="I101" s="35">
        <v>39500</v>
      </c>
      <c r="J101" s="11" t="s">
        <v>23</v>
      </c>
      <c r="K101" s="14">
        <v>18</v>
      </c>
      <c r="L101" s="11" t="str">
        <f>IF(K101&lt;=10, "Baixo", IF(K101&lt;=25, "Médio", "Alto"))</f>
        <v>Médio</v>
      </c>
      <c r="M101" s="25" t="str">
        <f>IF(AND(L101="Alto", J101="Sim"), "Negada", "Passa")</f>
        <v>Passa</v>
      </c>
      <c r="N101" s="25" t="str">
        <f>IF(AND(I101&gt;50000, J101="Sim"), "Negada", "Passa")</f>
        <v>Passa</v>
      </c>
      <c r="O101" s="39">
        <v>32000</v>
      </c>
      <c r="P101" s="43">
        <f t="shared" si="1"/>
        <v>34560</v>
      </c>
    </row>
    <row r="102" spans="1:16">
      <c r="A102" s="10" t="s">
        <v>17</v>
      </c>
      <c r="B102" s="11" t="s">
        <v>345</v>
      </c>
      <c r="C102" s="11" t="s">
        <v>346</v>
      </c>
      <c r="D102" s="12">
        <v>73</v>
      </c>
      <c r="E102" s="13" t="s">
        <v>347</v>
      </c>
      <c r="F102" s="11" t="s">
        <v>92</v>
      </c>
      <c r="G102" s="11" t="s">
        <v>93</v>
      </c>
      <c r="H102" s="35">
        <v>6100</v>
      </c>
      <c r="I102" s="35">
        <v>47500</v>
      </c>
      <c r="J102" s="11" t="s">
        <v>35</v>
      </c>
      <c r="K102" s="14"/>
      <c r="L102" s="11" t="str">
        <f>IF(K102&lt;=10, "Baixo", IF(K102&lt;=25, "Médio", "Alto"))</f>
        <v>Baixo</v>
      </c>
      <c r="M102" s="25" t="str">
        <f>IF(AND(L102="Alto", J102="Sim"), "Negada", "Passa")</f>
        <v>Passa</v>
      </c>
      <c r="N102" s="25" t="str">
        <f>IF(AND(I102&gt;50000, J102="Sim"), "Negada", "Passa")</f>
        <v>Passa</v>
      </c>
      <c r="O102" s="39"/>
      <c r="P102" s="43">
        <f t="shared" si="1"/>
        <v>0</v>
      </c>
    </row>
    <row r="103" spans="1:16">
      <c r="A103" s="10" t="s">
        <v>39</v>
      </c>
      <c r="B103" s="11" t="s">
        <v>348</v>
      </c>
      <c r="C103" s="11" t="s">
        <v>349</v>
      </c>
      <c r="D103" s="12">
        <v>55</v>
      </c>
      <c r="E103" s="13" t="s">
        <v>350</v>
      </c>
      <c r="F103" s="11" t="s">
        <v>71</v>
      </c>
      <c r="G103" s="11" t="s">
        <v>72</v>
      </c>
      <c r="H103" s="35">
        <v>29700</v>
      </c>
      <c r="I103" s="35"/>
      <c r="J103" s="11" t="s">
        <v>35</v>
      </c>
      <c r="K103" s="14"/>
      <c r="L103" s="11" t="str">
        <f>IF(K103&lt;=10, "Baixo", IF(K103&lt;=25, "Médio", "Alto"))</f>
        <v>Baixo</v>
      </c>
      <c r="M103" s="25" t="str">
        <f>IF(AND(L103="Alto", J103="Sim"), "Negada", "Passa")</f>
        <v>Passa</v>
      </c>
      <c r="N103" s="25" t="str">
        <f>IF(AND(I103&gt;50000, J103="Sim"), "Negada", "Passa")</f>
        <v>Passa</v>
      </c>
      <c r="O103" s="39"/>
      <c r="P103" s="43">
        <f t="shared" si="1"/>
        <v>0</v>
      </c>
    </row>
    <row r="104" spans="1:16">
      <c r="A104" s="10" t="s">
        <v>39</v>
      </c>
      <c r="B104" s="11" t="s">
        <v>351</v>
      </c>
      <c r="C104" s="11" t="s">
        <v>352</v>
      </c>
      <c r="D104" s="12">
        <v>52</v>
      </c>
      <c r="E104" s="13" t="s">
        <v>353</v>
      </c>
      <c r="F104" s="11" t="s">
        <v>233</v>
      </c>
      <c r="G104" s="11" t="s">
        <v>234</v>
      </c>
      <c r="H104" s="35">
        <v>6400</v>
      </c>
      <c r="I104" s="35">
        <v>45000</v>
      </c>
      <c r="J104" s="11" t="s">
        <v>35</v>
      </c>
      <c r="K104" s="14"/>
      <c r="L104" s="11" t="str">
        <f>IF(K104&lt;=10, "Baixo", IF(K104&lt;=25, "Médio", "Alto"))</f>
        <v>Baixo</v>
      </c>
      <c r="M104" s="25" t="str">
        <f>IF(AND(L104="Alto", J104="Sim"), "Negada", "Passa")</f>
        <v>Passa</v>
      </c>
      <c r="N104" s="25" t="str">
        <f>IF(AND(I104&gt;50000, J104="Sim"), "Negada", "Passa")</f>
        <v>Passa</v>
      </c>
      <c r="O104" s="39"/>
      <c r="P104" s="43">
        <f t="shared" si="1"/>
        <v>0</v>
      </c>
    </row>
    <row r="105" spans="1:16">
      <c r="A105" s="10" t="s">
        <v>39</v>
      </c>
      <c r="B105" s="11" t="s">
        <v>354</v>
      </c>
      <c r="C105" s="11" t="s">
        <v>355</v>
      </c>
      <c r="D105" s="12">
        <v>70</v>
      </c>
      <c r="E105" s="13" t="s">
        <v>356</v>
      </c>
      <c r="F105" s="11" t="s">
        <v>115</v>
      </c>
      <c r="G105" s="11" t="s">
        <v>116</v>
      </c>
      <c r="H105" s="35">
        <v>2500</v>
      </c>
      <c r="I105" s="35">
        <v>79500</v>
      </c>
      <c r="J105" s="11" t="s">
        <v>35</v>
      </c>
      <c r="K105" s="14"/>
      <c r="L105" s="11" t="str">
        <f>IF(K105&lt;=10, "Baixo", IF(K105&lt;=25, "Médio", "Alto"))</f>
        <v>Baixo</v>
      </c>
      <c r="M105" s="25" t="str">
        <f>IF(AND(L105="Alto", J105="Sim"), "Negada", "Passa")</f>
        <v>Passa</v>
      </c>
      <c r="N105" s="25" t="str">
        <f>IF(AND(I105&gt;50000, J105="Sim"), "Negada", "Passa")</f>
        <v>Passa</v>
      </c>
      <c r="O105" s="39"/>
      <c r="P105" s="43">
        <f t="shared" si="1"/>
        <v>0</v>
      </c>
    </row>
    <row r="106" spans="1:16">
      <c r="A106" s="10" t="s">
        <v>35</v>
      </c>
      <c r="B106" s="11" t="s">
        <v>357</v>
      </c>
      <c r="C106" s="11" t="s">
        <v>358</v>
      </c>
      <c r="D106" s="12">
        <v>32</v>
      </c>
      <c r="E106" s="13" t="s">
        <v>359</v>
      </c>
      <c r="F106" s="11" t="s">
        <v>71</v>
      </c>
      <c r="G106" s="11" t="s">
        <v>72</v>
      </c>
      <c r="H106" s="35">
        <v>15600</v>
      </c>
      <c r="I106" s="35">
        <v>16500</v>
      </c>
      <c r="J106" s="11" t="s">
        <v>29</v>
      </c>
      <c r="K106" s="14">
        <v>24</v>
      </c>
      <c r="L106" s="11" t="str">
        <f>IF(K106&lt;=10, "Baixo", IF(K106&lt;=25, "Médio", "Alto"))</f>
        <v>Médio</v>
      </c>
      <c r="M106" s="25" t="str">
        <f>IF(AND(L106="Alto", J106="Sim"), "Negada", "Passa")</f>
        <v>Passa</v>
      </c>
      <c r="N106" s="25" t="str">
        <f>IF(AND(I106&gt;50000, J106="Sim"), "Negada", "Passa")</f>
        <v>Passa</v>
      </c>
      <c r="O106" s="39">
        <v>57000</v>
      </c>
      <c r="P106" s="43">
        <f t="shared" si="1"/>
        <v>0</v>
      </c>
    </row>
    <row r="107" spans="1:16">
      <c r="A107" s="10" t="s">
        <v>39</v>
      </c>
      <c r="B107" s="11" t="s">
        <v>360</v>
      </c>
      <c r="C107" s="11" t="s">
        <v>361</v>
      </c>
      <c r="D107" s="12">
        <v>59</v>
      </c>
      <c r="E107" s="13" t="s">
        <v>362</v>
      </c>
      <c r="F107" s="11" t="s">
        <v>363</v>
      </c>
      <c r="G107" s="11" t="s">
        <v>28</v>
      </c>
      <c r="H107" s="35">
        <v>6300</v>
      </c>
      <c r="I107" s="35">
        <v>46000</v>
      </c>
      <c r="J107" s="11" t="s">
        <v>29</v>
      </c>
      <c r="K107" s="14">
        <v>4</v>
      </c>
      <c r="L107" s="11" t="str">
        <f>IF(K107&lt;=10, "Baixo", IF(K107&lt;=25, "Médio", "Alto"))</f>
        <v>Baixo</v>
      </c>
      <c r="M107" s="25" t="str">
        <f>IF(AND(L107="Alto", J107="Sim"), "Negada", "Passa")</f>
        <v>Passa</v>
      </c>
      <c r="N107" s="25" t="str">
        <f>IF(AND(I107&gt;50000, J107="Sim"), "Negada", "Passa")</f>
        <v>Passa</v>
      </c>
      <c r="O107" s="39">
        <v>27500</v>
      </c>
      <c r="P107" s="43">
        <f t="shared" si="1"/>
        <v>0</v>
      </c>
    </row>
    <row r="108" spans="1:16">
      <c r="A108" s="10" t="s">
        <v>17</v>
      </c>
      <c r="B108" s="11" t="s">
        <v>364</v>
      </c>
      <c r="C108" s="11" t="s">
        <v>365</v>
      </c>
      <c r="D108" s="12">
        <v>51</v>
      </c>
      <c r="E108" s="13" t="s">
        <v>366</v>
      </c>
      <c r="F108" s="11" t="s">
        <v>46</v>
      </c>
      <c r="G108" s="11" t="s">
        <v>46</v>
      </c>
      <c r="H108" s="35">
        <v>11600</v>
      </c>
      <c r="I108" s="35">
        <v>73500</v>
      </c>
      <c r="J108" s="11" t="s">
        <v>23</v>
      </c>
      <c r="K108" s="14">
        <v>33</v>
      </c>
      <c r="L108" s="11" t="str">
        <f>IF(K108&lt;=10, "Baixo", IF(K108&lt;=25, "Médio", "Alto"))</f>
        <v>Alto</v>
      </c>
      <c r="M108" s="25" t="str">
        <f>IF(AND(L108="Alto", J108="Sim"), "Negada", "Passa")</f>
        <v>Passa</v>
      </c>
      <c r="N108" s="25" t="str">
        <f>IF(AND(I108&gt;50000, J108="Sim"), "Negada", "Passa")</f>
        <v>Passa</v>
      </c>
      <c r="O108" s="39">
        <v>95000</v>
      </c>
      <c r="P108" s="43">
        <f t="shared" si="1"/>
        <v>102600</v>
      </c>
    </row>
    <row r="109" spans="1:16">
      <c r="A109" s="10" t="s">
        <v>39</v>
      </c>
      <c r="B109" s="11" t="s">
        <v>367</v>
      </c>
      <c r="C109" s="11" t="s">
        <v>368</v>
      </c>
      <c r="D109" s="12">
        <v>38</v>
      </c>
      <c r="E109" s="13" t="s">
        <v>369</v>
      </c>
      <c r="F109" s="11" t="s">
        <v>60</v>
      </c>
      <c r="G109" s="11" t="s">
        <v>61</v>
      </c>
      <c r="H109" s="35">
        <v>13500</v>
      </c>
      <c r="I109" s="35">
        <v>23500</v>
      </c>
      <c r="J109" s="11" t="s">
        <v>29</v>
      </c>
      <c r="K109" s="14">
        <v>31</v>
      </c>
      <c r="L109" s="11" t="str">
        <f>IF(K109&lt;=10, "Baixo", IF(K109&lt;=25, "Médio", "Alto"))</f>
        <v>Alto</v>
      </c>
      <c r="M109" s="25" t="str">
        <f>IF(AND(L109="Alto", J109="Sim"), "Negada", "Passa")</f>
        <v>Negada</v>
      </c>
      <c r="N109" s="25" t="str">
        <f>IF(AND(I109&gt;50000, J109="Sim"), "Negada", "Passa")</f>
        <v>Passa</v>
      </c>
      <c r="O109" s="39">
        <v>91000</v>
      </c>
      <c r="P109" s="43">
        <f t="shared" si="1"/>
        <v>0</v>
      </c>
    </row>
    <row r="110" spans="1:16">
      <c r="A110" s="10" t="s">
        <v>17</v>
      </c>
      <c r="B110" s="11" t="s">
        <v>370</v>
      </c>
      <c r="C110" s="11" t="s">
        <v>371</v>
      </c>
      <c r="D110" s="12">
        <v>48</v>
      </c>
      <c r="E110" s="13" t="s">
        <v>372</v>
      </c>
      <c r="F110" s="11" t="s">
        <v>192</v>
      </c>
      <c r="G110" s="11" t="s">
        <v>193</v>
      </c>
      <c r="H110" s="35">
        <v>2300</v>
      </c>
      <c r="I110" s="35">
        <v>80000</v>
      </c>
      <c r="J110" s="11" t="s">
        <v>23</v>
      </c>
      <c r="K110" s="14">
        <v>9</v>
      </c>
      <c r="L110" s="11" t="str">
        <f>IF(K110&lt;=10, "Baixo", IF(K110&lt;=25, "Médio", "Alto"))</f>
        <v>Baixo</v>
      </c>
      <c r="M110" s="25" t="str">
        <f>IF(AND(L110="Alto", J110="Sim"), "Negada", "Passa")</f>
        <v>Passa</v>
      </c>
      <c r="N110" s="25" t="str">
        <f>IF(AND(I110&gt;50000, J110="Sim"), "Negada", "Passa")</f>
        <v>Passa</v>
      </c>
      <c r="O110" s="39">
        <v>58500</v>
      </c>
      <c r="P110" s="43">
        <f t="shared" si="1"/>
        <v>63180.000000000007</v>
      </c>
    </row>
    <row r="111" spans="1:16">
      <c r="A111" s="10" t="s">
        <v>17</v>
      </c>
      <c r="B111" s="11" t="s">
        <v>373</v>
      </c>
      <c r="C111" s="11" t="s">
        <v>374</v>
      </c>
      <c r="D111" s="12">
        <v>22</v>
      </c>
      <c r="E111" s="13" t="s">
        <v>375</v>
      </c>
      <c r="F111" s="11" t="s">
        <v>233</v>
      </c>
      <c r="G111" s="11" t="s">
        <v>234</v>
      </c>
      <c r="H111" s="35">
        <v>2300</v>
      </c>
      <c r="I111" s="35">
        <v>55000</v>
      </c>
      <c r="J111" s="11" t="s">
        <v>23</v>
      </c>
      <c r="K111" s="14">
        <v>26</v>
      </c>
      <c r="L111" s="11" t="str">
        <f>IF(K111&lt;=10, "Baixo", IF(K111&lt;=25, "Médio", "Alto"))</f>
        <v>Alto</v>
      </c>
      <c r="M111" s="25" t="str">
        <f>IF(AND(L111="Alto", J111="Sim"), "Negada", "Passa")</f>
        <v>Passa</v>
      </c>
      <c r="N111" s="25" t="str">
        <f>IF(AND(I111&gt;50000, J111="Sim"), "Negada", "Passa")</f>
        <v>Passa</v>
      </c>
      <c r="O111" s="39">
        <v>54000</v>
      </c>
      <c r="P111" s="43">
        <f t="shared" si="1"/>
        <v>58320.000000000007</v>
      </c>
    </row>
    <row r="112" spans="1:16">
      <c r="A112" s="10" t="s">
        <v>17</v>
      </c>
      <c r="B112" s="11" t="s">
        <v>376</v>
      </c>
      <c r="C112" s="11" t="s">
        <v>377</v>
      </c>
      <c r="D112" s="12">
        <v>56</v>
      </c>
      <c r="E112" s="13" t="s">
        <v>378</v>
      </c>
      <c r="F112" s="11" t="s">
        <v>46</v>
      </c>
      <c r="G112" s="11" t="s">
        <v>46</v>
      </c>
      <c r="H112" s="35">
        <v>22600</v>
      </c>
      <c r="I112" s="35">
        <v>63000</v>
      </c>
      <c r="J112" s="11" t="s">
        <v>23</v>
      </c>
      <c r="K112" s="14">
        <v>33</v>
      </c>
      <c r="L112" s="11" t="str">
        <f>IF(K112&lt;=10, "Baixo", IF(K112&lt;=25, "Médio", "Alto"))</f>
        <v>Alto</v>
      </c>
      <c r="M112" s="25" t="str">
        <f>IF(AND(L112="Alto", J112="Sim"), "Negada", "Passa")</f>
        <v>Passa</v>
      </c>
      <c r="N112" s="25" t="str">
        <f>IF(AND(I112&gt;50000, J112="Sim"), "Negada", "Passa")</f>
        <v>Passa</v>
      </c>
      <c r="O112" s="39">
        <v>53000</v>
      </c>
      <c r="P112" s="43">
        <f t="shared" si="1"/>
        <v>57240.000000000007</v>
      </c>
    </row>
    <row r="113" spans="1:16">
      <c r="A113" s="10" t="s">
        <v>17</v>
      </c>
      <c r="B113" s="11" t="s">
        <v>379</v>
      </c>
      <c r="C113" s="11" t="s">
        <v>380</v>
      </c>
      <c r="D113" s="12">
        <v>23</v>
      </c>
      <c r="E113" s="13" t="s">
        <v>381</v>
      </c>
      <c r="F113" s="11" t="s">
        <v>33</v>
      </c>
      <c r="G113" s="11" t="s">
        <v>34</v>
      </c>
      <c r="H113" s="35"/>
      <c r="I113" s="35"/>
      <c r="J113" s="11" t="s">
        <v>35</v>
      </c>
      <c r="K113" s="14"/>
      <c r="L113" s="11" t="str">
        <f>IF(K113&lt;=10, "Baixo", IF(K113&lt;=25, "Médio", "Alto"))</f>
        <v>Baixo</v>
      </c>
      <c r="M113" s="25" t="str">
        <f>IF(AND(L113="Alto", J113="Sim"), "Negada", "Passa")</f>
        <v>Passa</v>
      </c>
      <c r="N113" s="25" t="str">
        <f>IF(AND(I113&gt;50000, J113="Sim"), "Negada", "Passa")</f>
        <v>Passa</v>
      </c>
      <c r="O113" s="39"/>
      <c r="P113" s="43">
        <f t="shared" si="1"/>
        <v>0</v>
      </c>
    </row>
    <row r="114" spans="1:16">
      <c r="A114" s="10" t="s">
        <v>17</v>
      </c>
      <c r="B114" s="11" t="s">
        <v>382</v>
      </c>
      <c r="C114" s="11" t="s">
        <v>383</v>
      </c>
      <c r="D114" s="12">
        <v>72</v>
      </c>
      <c r="E114" s="13" t="s">
        <v>384</v>
      </c>
      <c r="F114" s="11" t="s">
        <v>71</v>
      </c>
      <c r="G114" s="11" t="s">
        <v>72</v>
      </c>
      <c r="H114" s="35">
        <v>3900</v>
      </c>
      <c r="I114" s="35">
        <v>78500</v>
      </c>
      <c r="J114" s="11" t="s">
        <v>23</v>
      </c>
      <c r="K114" s="14">
        <v>2</v>
      </c>
      <c r="L114" s="11" t="str">
        <f>IF(K114&lt;=10, "Baixo", IF(K114&lt;=25, "Médio", "Alto"))</f>
        <v>Baixo</v>
      </c>
      <c r="M114" s="25" t="str">
        <f>IF(AND(L114="Alto", J114="Sim"), "Negada", "Passa")</f>
        <v>Passa</v>
      </c>
      <c r="N114" s="25" t="str">
        <f>IF(AND(I114&gt;50000, J114="Sim"), "Negada", "Passa")</f>
        <v>Passa</v>
      </c>
      <c r="O114" s="39">
        <v>53000</v>
      </c>
      <c r="P114" s="43">
        <f t="shared" si="1"/>
        <v>57240.000000000007</v>
      </c>
    </row>
    <row r="115" spans="1:16">
      <c r="A115" s="10" t="s">
        <v>17</v>
      </c>
      <c r="B115" s="11" t="s">
        <v>385</v>
      </c>
      <c r="C115" s="11" t="s">
        <v>386</v>
      </c>
      <c r="D115" s="12">
        <v>54</v>
      </c>
      <c r="E115" s="13" t="s">
        <v>387</v>
      </c>
      <c r="F115" s="11" t="s">
        <v>131</v>
      </c>
      <c r="G115" s="11" t="s">
        <v>56</v>
      </c>
      <c r="H115" s="35">
        <v>18700</v>
      </c>
      <c r="I115" s="35">
        <v>6500</v>
      </c>
      <c r="J115" s="15"/>
      <c r="K115" s="14">
        <v>0</v>
      </c>
      <c r="L115" s="11" t="str">
        <f>IF(K115&lt;=10, "Baixo", IF(K115&lt;=25, "Médio", "Alto"))</f>
        <v>Baixo</v>
      </c>
      <c r="M115" s="25" t="str">
        <f>IF(AND(L115="Alto", J115="Sim"), "Negada", "Passa")</f>
        <v>Passa</v>
      </c>
      <c r="N115" s="25" t="str">
        <f>IF(AND(I115&gt;50000, J115="Sim"), "Negada", "Passa")</f>
        <v>Passa</v>
      </c>
      <c r="O115" s="39">
        <v>42500</v>
      </c>
      <c r="P115" s="43">
        <f t="shared" si="1"/>
        <v>45900</v>
      </c>
    </row>
    <row r="116" spans="1:16">
      <c r="A116" s="10" t="s">
        <v>39</v>
      </c>
      <c r="B116" s="11" t="s">
        <v>388</v>
      </c>
      <c r="C116" s="11" t="s">
        <v>389</v>
      </c>
      <c r="D116" s="12">
        <v>67</v>
      </c>
      <c r="E116" s="13" t="s">
        <v>390</v>
      </c>
      <c r="F116" s="11" t="s">
        <v>82</v>
      </c>
      <c r="G116" s="11" t="s">
        <v>22</v>
      </c>
      <c r="H116" s="35">
        <v>3200</v>
      </c>
      <c r="I116" s="35">
        <v>78500</v>
      </c>
      <c r="J116" s="15" t="s">
        <v>23</v>
      </c>
      <c r="K116" s="14">
        <v>34</v>
      </c>
      <c r="L116" s="11" t="str">
        <f>IF(K116&lt;=10, "Baixo", IF(K116&lt;=25, "Médio", "Alto"))</f>
        <v>Alto</v>
      </c>
      <c r="M116" s="25" t="str">
        <f>IF(AND(L116="Alto", J116="Sim"), "Negada", "Passa")</f>
        <v>Passa</v>
      </c>
      <c r="N116" s="25" t="str">
        <f>IF(AND(I116&gt;50000, J116="Sim"), "Negada", "Passa")</f>
        <v>Passa</v>
      </c>
      <c r="O116" s="39">
        <v>84000</v>
      </c>
      <c r="P116" s="43">
        <f t="shared" si="1"/>
        <v>0</v>
      </c>
    </row>
    <row r="117" spans="1:16">
      <c r="A117" s="10" t="s">
        <v>17</v>
      </c>
      <c r="B117" s="11" t="s">
        <v>391</v>
      </c>
      <c r="C117" s="11" t="s">
        <v>392</v>
      </c>
      <c r="D117" s="12">
        <v>73</v>
      </c>
      <c r="E117" s="13" t="s">
        <v>393</v>
      </c>
      <c r="F117" s="15" t="s">
        <v>363</v>
      </c>
      <c r="G117" s="11" t="s">
        <v>28</v>
      </c>
      <c r="H117" s="35">
        <v>165000</v>
      </c>
      <c r="I117" s="35">
        <v>57000</v>
      </c>
      <c r="J117" s="11" t="s">
        <v>35</v>
      </c>
      <c r="K117" s="14"/>
      <c r="L117" s="11" t="str">
        <f>IF(K117&lt;=10, "Baixo", IF(K117&lt;=25, "Médio", "Alto"))</f>
        <v>Baixo</v>
      </c>
      <c r="M117" s="25" t="str">
        <f>IF(AND(L117="Alto", J117="Sim"), "Negada", "Passa")</f>
        <v>Passa</v>
      </c>
      <c r="N117" s="25" t="str">
        <f>IF(AND(I117&gt;50000, J117="Sim"), "Negada", "Passa")</f>
        <v>Passa</v>
      </c>
      <c r="O117" s="39"/>
      <c r="P117" s="43">
        <f t="shared" si="1"/>
        <v>0</v>
      </c>
    </row>
    <row r="118" spans="1:16">
      <c r="A118" s="10" t="s">
        <v>17</v>
      </c>
      <c r="B118" s="11" t="s">
        <v>394</v>
      </c>
      <c r="C118" s="11" t="s">
        <v>395</v>
      </c>
      <c r="D118" s="12">
        <v>24</v>
      </c>
      <c r="E118" s="13" t="s">
        <v>396</v>
      </c>
      <c r="F118" s="11" t="s">
        <v>115</v>
      </c>
      <c r="G118" s="11" t="s">
        <v>116</v>
      </c>
      <c r="H118" s="35">
        <v>14200</v>
      </c>
      <c r="I118" s="35">
        <f>21.5*1000</f>
        <v>21500</v>
      </c>
      <c r="J118" s="11" t="s">
        <v>35</v>
      </c>
      <c r="K118" s="14"/>
      <c r="L118" s="11" t="str">
        <f>IF(K118&lt;=10, "Baixo", IF(K118&lt;=25, "Médio", "Alto"))</f>
        <v>Baixo</v>
      </c>
      <c r="M118" s="25" t="str">
        <f>IF(AND(L118="Alto", J118="Sim"), "Negada", "Passa")</f>
        <v>Passa</v>
      </c>
      <c r="N118" s="25" t="str">
        <f>IF(AND(I118&gt;50000, J118="Sim"), "Negada", "Passa")</f>
        <v>Passa</v>
      </c>
      <c r="O118" s="39"/>
      <c r="P118" s="43">
        <f t="shared" si="1"/>
        <v>0</v>
      </c>
    </row>
    <row r="119" spans="1:16">
      <c r="A119" s="10" t="s">
        <v>17</v>
      </c>
      <c r="B119" s="11" t="s">
        <v>397</v>
      </c>
      <c r="C119" s="11" t="s">
        <v>398</v>
      </c>
      <c r="D119" s="12">
        <v>26</v>
      </c>
      <c r="E119" s="13" t="s">
        <v>399</v>
      </c>
      <c r="F119" s="11" t="s">
        <v>206</v>
      </c>
      <c r="G119" s="16" t="s">
        <v>34</v>
      </c>
      <c r="H119" s="35">
        <v>13900</v>
      </c>
      <c r="I119" s="35">
        <v>22000</v>
      </c>
      <c r="J119" s="11" t="s">
        <v>23</v>
      </c>
      <c r="K119" s="14">
        <v>38</v>
      </c>
      <c r="L119" s="11" t="str">
        <f>IF(K119&lt;=10, "Baixo", IF(K119&lt;=25, "Médio", "Alto"))</f>
        <v>Alto</v>
      </c>
      <c r="M119" s="25" t="str">
        <f>IF(AND(L119="Alto", J119="Sim"), "Negada", "Passa")</f>
        <v>Passa</v>
      </c>
      <c r="N119" s="25" t="str">
        <f>IF(AND(I119&gt;50000, J119="Sim"), "Negada", "Passa")</f>
        <v>Passa</v>
      </c>
      <c r="O119" s="39">
        <v>81000</v>
      </c>
      <c r="P119" s="43">
        <f t="shared" si="1"/>
        <v>87480</v>
      </c>
    </row>
    <row r="120" spans="1:16">
      <c r="A120" s="10" t="s">
        <v>39</v>
      </c>
      <c r="B120" s="11" t="s">
        <v>400</v>
      </c>
      <c r="C120" s="11" t="s">
        <v>401</v>
      </c>
      <c r="D120" s="12">
        <v>33</v>
      </c>
      <c r="E120" s="13" t="s">
        <v>402</v>
      </c>
      <c r="F120" s="11" t="s">
        <v>55</v>
      </c>
      <c r="G120" s="11" t="s">
        <v>56</v>
      </c>
      <c r="H120" s="35">
        <v>2400</v>
      </c>
      <c r="I120" s="35">
        <v>55000</v>
      </c>
      <c r="J120" s="11" t="s">
        <v>23</v>
      </c>
      <c r="K120" s="14">
        <v>38</v>
      </c>
      <c r="L120" s="11" t="str">
        <f>IF(K120&lt;=10, "Baixo", IF(K120&lt;=25, "Médio", "Alto"))</f>
        <v>Alto</v>
      </c>
      <c r="M120" s="25" t="str">
        <f>IF(AND(L120="Alto", J120="Sim"), "Negada", "Passa")</f>
        <v>Passa</v>
      </c>
      <c r="N120" s="25" t="str">
        <f>IF(AND(I120&gt;50000, J120="Sim"), "Negada", "Passa")</f>
        <v>Passa</v>
      </c>
      <c r="O120" s="39">
        <v>68500</v>
      </c>
      <c r="P120" s="43">
        <f t="shared" si="1"/>
        <v>0</v>
      </c>
    </row>
    <row r="121" spans="1:16">
      <c r="A121" s="10" t="s">
        <v>17</v>
      </c>
      <c r="B121" s="11" t="s">
        <v>403</v>
      </c>
      <c r="C121" s="11" t="s">
        <v>404</v>
      </c>
      <c r="D121" s="12">
        <v>58</v>
      </c>
      <c r="E121" s="13" t="s">
        <v>405</v>
      </c>
      <c r="F121" s="11" t="s">
        <v>192</v>
      </c>
      <c r="G121" s="11" t="s">
        <v>193</v>
      </c>
      <c r="H121" s="35">
        <v>2800</v>
      </c>
      <c r="I121" s="35">
        <v>79500</v>
      </c>
      <c r="J121" s="11" t="s">
        <v>29</v>
      </c>
      <c r="K121" s="14">
        <v>29</v>
      </c>
      <c r="L121" s="11" t="str">
        <f>IF(K121&lt;=10, "Baixo", IF(K121&lt;=25, "Médio", "Alto"))</f>
        <v>Alto</v>
      </c>
      <c r="M121" s="25" t="str">
        <f>IF(AND(L121="Alto", J121="Sim"), "Negada", "Passa")</f>
        <v>Negada</v>
      </c>
      <c r="N121" s="25" t="str">
        <f>IF(AND(I121&gt;50000, J121="Sim"), "Negada", "Passa")</f>
        <v>Negada</v>
      </c>
      <c r="O121" s="39">
        <v>64000</v>
      </c>
      <c r="P121" s="43">
        <f t="shared" si="1"/>
        <v>0</v>
      </c>
    </row>
    <row r="122" spans="1:16">
      <c r="A122" s="10" t="s">
        <v>17</v>
      </c>
      <c r="B122" s="11" t="s">
        <v>406</v>
      </c>
      <c r="C122" s="11" t="s">
        <v>407</v>
      </c>
      <c r="D122" s="12">
        <v>44</v>
      </c>
      <c r="E122" s="13" t="s">
        <v>408</v>
      </c>
      <c r="F122" s="11" t="s">
        <v>92</v>
      </c>
      <c r="G122" s="11" t="s">
        <v>93</v>
      </c>
      <c r="H122" s="35">
        <v>11300</v>
      </c>
      <c r="I122" s="35">
        <v>31000</v>
      </c>
      <c r="J122" s="11" t="s">
        <v>23</v>
      </c>
      <c r="K122" s="14">
        <v>19</v>
      </c>
      <c r="L122" s="11" t="str">
        <f>IF(K122&lt;=10, "Baixo", IF(K122&lt;=25, "Médio", "Alto"))</f>
        <v>Médio</v>
      </c>
      <c r="M122" s="25" t="str">
        <f>IF(AND(L122="Alto", J122="Sim"), "Negada", "Passa")</f>
        <v>Passa</v>
      </c>
      <c r="N122" s="25" t="str">
        <f>IF(AND(I122&gt;50000, J122="Sim"), "Negada", "Passa")</f>
        <v>Passa</v>
      </c>
      <c r="O122" s="39">
        <v>63500</v>
      </c>
      <c r="P122" s="43">
        <f t="shared" si="1"/>
        <v>68580</v>
      </c>
    </row>
    <row r="123" spans="1:16">
      <c r="A123" s="10" t="s">
        <v>17</v>
      </c>
      <c r="B123" s="11" t="s">
        <v>409</v>
      </c>
      <c r="C123" s="11" t="s">
        <v>410</v>
      </c>
      <c r="D123" s="12">
        <v>65</v>
      </c>
      <c r="E123" s="13" t="s">
        <v>411</v>
      </c>
      <c r="F123" s="11" t="s">
        <v>27</v>
      </c>
      <c r="G123" s="11" t="s">
        <v>28</v>
      </c>
      <c r="H123" s="35">
        <v>18000</v>
      </c>
      <c r="I123" s="35">
        <v>67500</v>
      </c>
      <c r="J123" s="11" t="s">
        <v>23</v>
      </c>
      <c r="K123" s="14">
        <v>25</v>
      </c>
      <c r="L123" s="11" t="str">
        <f>IF(K123&lt;=10, "Baixo", IF(K123&lt;=25, "Médio", "Alto"))</f>
        <v>Médio</v>
      </c>
      <c r="M123" s="25" t="str">
        <f>IF(AND(L123="Alto", J123="Sim"), "Negada", "Passa")</f>
        <v>Passa</v>
      </c>
      <c r="N123" s="25" t="str">
        <f>IF(AND(I123&gt;50000, J123="Sim"), "Negada", "Passa")</f>
        <v>Passa</v>
      </c>
      <c r="O123" s="39">
        <v>18000</v>
      </c>
      <c r="P123" s="43">
        <f t="shared" si="1"/>
        <v>19440</v>
      </c>
    </row>
    <row r="124" spans="1:16">
      <c r="A124" s="10" t="s">
        <v>35</v>
      </c>
      <c r="B124" s="11" t="s">
        <v>412</v>
      </c>
      <c r="C124" s="11" t="s">
        <v>413</v>
      </c>
      <c r="D124" s="12"/>
      <c r="E124" s="13" t="s">
        <v>414</v>
      </c>
      <c r="F124" s="11" t="s">
        <v>82</v>
      </c>
      <c r="G124" s="11" t="s">
        <v>22</v>
      </c>
      <c r="H124" s="35">
        <v>29900</v>
      </c>
      <c r="I124" s="35"/>
      <c r="J124" s="11" t="s">
        <v>35</v>
      </c>
      <c r="K124" s="14"/>
      <c r="L124" s="11" t="str">
        <f>IF(K124&lt;=10, "Baixo", IF(K124&lt;=25, "Médio", "Alto"))</f>
        <v>Baixo</v>
      </c>
      <c r="M124" s="25" t="str">
        <f>IF(AND(L124="Alto", J124="Sim"), "Negada", "Passa")</f>
        <v>Passa</v>
      </c>
      <c r="N124" s="25" t="str">
        <f>IF(AND(I124&gt;50000, J124="Sim"), "Negada", "Passa")</f>
        <v>Passa</v>
      </c>
      <c r="O124" s="39"/>
      <c r="P124" s="43">
        <f t="shared" si="1"/>
        <v>0</v>
      </c>
    </row>
    <row r="125" spans="1:16">
      <c r="A125" s="10" t="s">
        <v>17</v>
      </c>
      <c r="B125" s="11" t="s">
        <v>415</v>
      </c>
      <c r="C125" s="11" t="s">
        <v>416</v>
      </c>
      <c r="D125" s="12">
        <v>58</v>
      </c>
      <c r="E125" s="13" t="s">
        <v>417</v>
      </c>
      <c r="F125" s="11" t="s">
        <v>27</v>
      </c>
      <c r="G125" s="11" t="s">
        <v>28</v>
      </c>
      <c r="H125" s="35">
        <v>4500</v>
      </c>
      <c r="I125" s="35">
        <v>78000</v>
      </c>
      <c r="J125" s="11" t="s">
        <v>23</v>
      </c>
      <c r="K125" s="14">
        <v>37</v>
      </c>
      <c r="L125" s="11" t="str">
        <f>IF(K125&lt;=10, "Baixo", IF(K125&lt;=25, "Médio", "Alto"))</f>
        <v>Alto</v>
      </c>
      <c r="M125" s="25" t="str">
        <f>IF(AND(L125="Alto", J125="Sim"), "Negada", "Passa")</f>
        <v>Passa</v>
      </c>
      <c r="N125" s="25" t="str">
        <f>IF(AND(I125&gt;50000, J125="Sim"), "Negada", "Passa")</f>
        <v>Passa</v>
      </c>
      <c r="O125" s="39">
        <v>99000</v>
      </c>
      <c r="P125" s="43">
        <f t="shared" si="1"/>
        <v>106920</v>
      </c>
    </row>
    <row r="126" spans="1:16">
      <c r="A126" s="10" t="s">
        <v>39</v>
      </c>
      <c r="B126" s="11" t="s">
        <v>418</v>
      </c>
      <c r="C126" s="11" t="s">
        <v>419</v>
      </c>
      <c r="D126" s="12">
        <v>29</v>
      </c>
      <c r="E126" s="13" t="s">
        <v>420</v>
      </c>
      <c r="F126" s="11" t="s">
        <v>46</v>
      </c>
      <c r="G126" s="11" t="s">
        <v>46</v>
      </c>
      <c r="H126" s="35">
        <v>15500</v>
      </c>
      <c r="I126" s="35">
        <v>17000</v>
      </c>
      <c r="J126" s="11" t="s">
        <v>23</v>
      </c>
      <c r="K126" s="14">
        <v>3</v>
      </c>
      <c r="L126" s="11" t="str">
        <f>IF(K126&lt;=10, "Baixo", IF(K126&lt;=25, "Médio", "Alto"))</f>
        <v>Baixo</v>
      </c>
      <c r="M126" s="25" t="str">
        <f>IF(AND(L126="Alto", J126="Sim"), "Negada", "Passa")</f>
        <v>Passa</v>
      </c>
      <c r="N126" s="25" t="str">
        <f>IF(AND(I126&gt;50000, J126="Sim"), "Negada", "Passa")</f>
        <v>Passa</v>
      </c>
      <c r="O126" s="39">
        <v>4500</v>
      </c>
      <c r="P126" s="43">
        <f t="shared" si="1"/>
        <v>0</v>
      </c>
    </row>
    <row r="127" spans="1:16">
      <c r="A127" s="10" t="s">
        <v>17</v>
      </c>
      <c r="B127" s="11" t="s">
        <v>421</v>
      </c>
      <c r="C127" s="11" t="s">
        <v>422</v>
      </c>
      <c r="D127" s="12">
        <v>38</v>
      </c>
      <c r="E127" s="13" t="s">
        <v>423</v>
      </c>
      <c r="F127" s="11" t="s">
        <v>21</v>
      </c>
      <c r="G127" s="11" t="s">
        <v>22</v>
      </c>
      <c r="H127" s="35">
        <v>9700</v>
      </c>
      <c r="I127" s="35">
        <v>37000</v>
      </c>
      <c r="J127" s="11" t="s">
        <v>23</v>
      </c>
      <c r="K127" s="14">
        <v>21</v>
      </c>
      <c r="L127" s="11" t="str">
        <f>IF(K127&lt;=10, "Baixo", IF(K127&lt;=25, "Médio", "Alto"))</f>
        <v>Médio</v>
      </c>
      <c r="M127" s="25" t="str">
        <f>IF(AND(L127="Alto", J127="Sim"), "Negada", "Passa")</f>
        <v>Passa</v>
      </c>
      <c r="N127" s="25" t="str">
        <f>IF(AND(I127&gt;50000, J127="Sim"), "Negada", "Passa")</f>
        <v>Passa</v>
      </c>
      <c r="O127" s="39">
        <v>97500</v>
      </c>
      <c r="P127" s="43">
        <f t="shared" si="1"/>
        <v>105300</v>
      </c>
    </row>
    <row r="128" spans="1:16">
      <c r="A128" s="10" t="s">
        <v>39</v>
      </c>
      <c r="B128" s="11" t="s">
        <v>424</v>
      </c>
      <c r="C128" s="11" t="s">
        <v>425</v>
      </c>
      <c r="D128" s="12">
        <v>26</v>
      </c>
      <c r="E128" s="13" t="s">
        <v>426</v>
      </c>
      <c r="F128" s="11" t="s">
        <v>92</v>
      </c>
      <c r="G128" s="11" t="s">
        <v>93</v>
      </c>
      <c r="H128" s="35">
        <v>24000</v>
      </c>
      <c r="I128" s="35"/>
      <c r="J128" s="11" t="s">
        <v>271</v>
      </c>
      <c r="K128" s="14">
        <v>13</v>
      </c>
      <c r="L128" s="11" t="str">
        <f>IF(K128&lt;=10, "Baixo", IF(K128&lt;=25, "Médio", "Alto"))</f>
        <v>Médio</v>
      </c>
      <c r="M128" s="25" t="str">
        <f>IF(AND(L128="Alto", J128="Sim"), "Negada", "Passa")</f>
        <v>Passa</v>
      </c>
      <c r="N128" s="25" t="str">
        <f>IF(AND(I128&gt;50000, J128="Sim"), "Negada", "Passa")</f>
        <v>Passa</v>
      </c>
      <c r="O128" s="39">
        <v>79000</v>
      </c>
      <c r="P128" s="43">
        <f t="shared" si="1"/>
        <v>0</v>
      </c>
    </row>
    <row r="129" spans="1:16">
      <c r="A129" s="10" t="s">
        <v>17</v>
      </c>
      <c r="B129" s="11" t="s">
        <v>427</v>
      </c>
      <c r="C129" s="11" t="s">
        <v>428</v>
      </c>
      <c r="D129" s="12">
        <v>48</v>
      </c>
      <c r="E129" s="13" t="s">
        <v>429</v>
      </c>
      <c r="F129" s="11" t="s">
        <v>233</v>
      </c>
      <c r="G129" s="11" t="s">
        <v>234</v>
      </c>
      <c r="H129" s="35">
        <v>18700</v>
      </c>
      <c r="I129" s="35">
        <v>66000</v>
      </c>
      <c r="J129" s="11" t="s">
        <v>35</v>
      </c>
      <c r="K129" s="14"/>
      <c r="L129" s="11" t="str">
        <f>IF(K129&lt;=10, "Baixo", IF(K129&lt;=25, "Médio", "Alto"))</f>
        <v>Baixo</v>
      </c>
      <c r="M129" s="25" t="str">
        <f>IF(AND(L129="Alto", J129="Sim"), "Negada", "Passa")</f>
        <v>Passa</v>
      </c>
      <c r="N129" s="25" t="str">
        <f>IF(AND(I129&gt;50000, J129="Sim"), "Negada", "Passa")</f>
        <v>Passa</v>
      </c>
      <c r="O129" s="39"/>
      <c r="P129" s="43">
        <f t="shared" si="1"/>
        <v>0</v>
      </c>
    </row>
    <row r="130" spans="1:16">
      <c r="A130" s="10" t="s">
        <v>39</v>
      </c>
      <c r="B130" s="11" t="s">
        <v>427</v>
      </c>
      <c r="C130" s="11" t="s">
        <v>430</v>
      </c>
      <c r="D130" s="12">
        <v>38</v>
      </c>
      <c r="E130" s="13" t="s">
        <v>431</v>
      </c>
      <c r="F130" s="15" t="s">
        <v>92</v>
      </c>
      <c r="G130" s="11" t="s">
        <v>93</v>
      </c>
      <c r="H130" s="35">
        <v>23600</v>
      </c>
      <c r="I130" s="35"/>
      <c r="J130" s="11" t="s">
        <v>29</v>
      </c>
      <c r="K130" s="14">
        <v>3</v>
      </c>
      <c r="L130" s="11" t="str">
        <f>IF(K130&lt;=10, "Baixo", IF(K130&lt;=25, "Médio", "Alto"))</f>
        <v>Baixo</v>
      </c>
      <c r="M130" s="25" t="str">
        <f>IF(AND(L130="Alto", J130="Sim"), "Negada", "Passa")</f>
        <v>Passa</v>
      </c>
      <c r="N130" s="25" t="str">
        <f>IF(AND(I130&gt;50000, J130="Sim"), "Negada", "Passa")</f>
        <v>Passa</v>
      </c>
      <c r="O130" s="39">
        <v>60000</v>
      </c>
      <c r="P130" s="43">
        <f t="shared" si="1"/>
        <v>0</v>
      </c>
    </row>
    <row r="131" spans="1:16">
      <c r="A131" s="10" t="s">
        <v>39</v>
      </c>
      <c r="B131" s="15" t="s">
        <v>432</v>
      </c>
      <c r="C131" s="11" t="s">
        <v>433</v>
      </c>
      <c r="D131" s="12">
        <v>35</v>
      </c>
      <c r="E131" s="13" t="s">
        <v>434</v>
      </c>
      <c r="F131" s="11" t="s">
        <v>27</v>
      </c>
      <c r="G131" s="11" t="s">
        <v>28</v>
      </c>
      <c r="H131" s="35">
        <v>1240000</v>
      </c>
      <c r="I131" s="35"/>
      <c r="J131" s="11" t="s">
        <v>35</v>
      </c>
      <c r="K131" s="14"/>
      <c r="L131" s="11" t="str">
        <f>IF(K131&lt;=10, "Baixo", IF(K131&lt;=25, "Médio", "Alto"))</f>
        <v>Baixo</v>
      </c>
      <c r="M131" s="25" t="str">
        <f>IF(AND(L131="Alto", J131="Sim"), "Negada", "Passa")</f>
        <v>Passa</v>
      </c>
      <c r="N131" s="25" t="str">
        <f>IF(AND(I131&gt;50000, J131="Sim"), "Negada", "Passa")</f>
        <v>Passa</v>
      </c>
      <c r="O131" s="39"/>
      <c r="P131" s="43">
        <f t="shared" ref="P131:P194" si="2">IF(OR(M131="Negada", N131="Negada"), 0, IF(A131="Ativo", O131*1.08, 0))</f>
        <v>0</v>
      </c>
    </row>
    <row r="132" spans="1:16">
      <c r="A132" s="10" t="s">
        <v>17</v>
      </c>
      <c r="B132" s="11" t="s">
        <v>435</v>
      </c>
      <c r="C132" s="11" t="s">
        <v>436</v>
      </c>
      <c r="D132" s="12">
        <v>35</v>
      </c>
      <c r="E132" s="13" t="s">
        <v>437</v>
      </c>
      <c r="F132" s="11" t="s">
        <v>71</v>
      </c>
      <c r="G132" s="11" t="s">
        <v>72</v>
      </c>
      <c r="H132" s="35">
        <v>20900</v>
      </c>
      <c r="I132" s="35">
        <v>1000</v>
      </c>
      <c r="J132" s="11" t="s">
        <v>23</v>
      </c>
      <c r="K132" s="14">
        <v>16</v>
      </c>
      <c r="L132" s="11" t="str">
        <f>IF(K132&lt;=10, "Baixo", IF(K132&lt;=25, "Médio", "Alto"))</f>
        <v>Médio</v>
      </c>
      <c r="M132" s="25" t="str">
        <f>IF(AND(L132="Alto", J132="Sim"), "Negada", "Passa")</f>
        <v>Passa</v>
      </c>
      <c r="N132" s="25" t="str">
        <f>IF(AND(I132&gt;50000, J132="Sim"), "Negada", "Passa")</f>
        <v>Passa</v>
      </c>
      <c r="O132" s="39">
        <v>10500</v>
      </c>
      <c r="P132" s="43">
        <f t="shared" si="2"/>
        <v>11340</v>
      </c>
    </row>
    <row r="133" spans="1:16">
      <c r="A133" s="10" t="s">
        <v>39</v>
      </c>
      <c r="B133" s="15" t="s">
        <v>438</v>
      </c>
      <c r="C133" s="11" t="s">
        <v>439</v>
      </c>
      <c r="D133" s="12">
        <v>68</v>
      </c>
      <c r="E133" s="13" t="s">
        <v>440</v>
      </c>
      <c r="F133" s="11" t="s">
        <v>55</v>
      </c>
      <c r="G133" s="11" t="s">
        <v>56</v>
      </c>
      <c r="H133" s="35">
        <v>2800</v>
      </c>
      <c r="I133" s="35">
        <v>54500</v>
      </c>
      <c r="J133" s="11" t="s">
        <v>29</v>
      </c>
      <c r="K133" s="14">
        <v>26</v>
      </c>
      <c r="L133" s="11" t="str">
        <f>IF(K133&lt;=10, "Baixo", IF(K133&lt;=25, "Médio", "Alto"))</f>
        <v>Alto</v>
      </c>
      <c r="M133" s="25" t="str">
        <f>IF(AND(L133="Alto", J133="Sim"), "Negada", "Passa")</f>
        <v>Negada</v>
      </c>
      <c r="N133" s="25" t="str">
        <f>IF(AND(I133&gt;50000, J133="Sim"), "Negada", "Passa")</f>
        <v>Negada</v>
      </c>
      <c r="O133" s="39">
        <v>75000</v>
      </c>
      <c r="P133" s="43">
        <f t="shared" si="2"/>
        <v>0</v>
      </c>
    </row>
    <row r="134" spans="1:16">
      <c r="A134" s="10" t="s">
        <v>39</v>
      </c>
      <c r="B134" s="11" t="s">
        <v>438</v>
      </c>
      <c r="C134" s="11" t="s">
        <v>441</v>
      </c>
      <c r="D134" s="12">
        <v>33</v>
      </c>
      <c r="E134" s="13" t="s">
        <v>442</v>
      </c>
      <c r="F134" s="11" t="s">
        <v>135</v>
      </c>
      <c r="G134" s="11" t="s">
        <v>93</v>
      </c>
      <c r="H134" s="35">
        <v>23400</v>
      </c>
      <c r="I134" s="35"/>
      <c r="J134" s="11" t="s">
        <v>29</v>
      </c>
      <c r="K134" s="14">
        <v>1</v>
      </c>
      <c r="L134" s="11" t="str">
        <f>IF(K134&lt;=10, "Baixo", IF(K134&lt;=25, "Médio", "Alto"))</f>
        <v>Baixo</v>
      </c>
      <c r="M134" s="25" t="str">
        <f>IF(AND(L134="Alto", J134="Sim"), "Negada", "Passa")</f>
        <v>Passa</v>
      </c>
      <c r="N134" s="25" t="str">
        <f>IF(AND(I134&gt;50000, J134="Sim"), "Negada", "Passa")</f>
        <v>Passa</v>
      </c>
      <c r="O134" s="39">
        <v>12000</v>
      </c>
      <c r="P134" s="43">
        <f t="shared" si="2"/>
        <v>0</v>
      </c>
    </row>
    <row r="135" spans="1:16">
      <c r="A135" s="10" t="s">
        <v>17</v>
      </c>
      <c r="B135" s="11" t="s">
        <v>443</v>
      </c>
      <c r="C135" s="11" t="s">
        <v>444</v>
      </c>
      <c r="D135" s="12">
        <v>33</v>
      </c>
      <c r="E135" s="13" t="s">
        <v>445</v>
      </c>
      <c r="F135" s="11" t="s">
        <v>233</v>
      </c>
      <c r="G135" s="11" t="s">
        <v>234</v>
      </c>
      <c r="H135" s="35"/>
      <c r="I135" s="35"/>
      <c r="J135" s="11" t="s">
        <v>35</v>
      </c>
      <c r="K135" s="14"/>
      <c r="L135" s="11" t="str">
        <f>IF(K135&lt;=10, "Baixo", IF(K135&lt;=25, "Médio", "Alto"))</f>
        <v>Baixo</v>
      </c>
      <c r="M135" s="25" t="str">
        <f>IF(AND(L135="Alto", J135="Sim"), "Negada", "Passa")</f>
        <v>Passa</v>
      </c>
      <c r="N135" s="25" t="str">
        <f>IF(AND(I135&gt;50000, J135="Sim"), "Negada", "Passa")</f>
        <v>Passa</v>
      </c>
      <c r="O135" s="39"/>
      <c r="P135" s="43">
        <f t="shared" si="2"/>
        <v>0</v>
      </c>
    </row>
    <row r="136" spans="1:16">
      <c r="A136" s="10" t="s">
        <v>39</v>
      </c>
      <c r="B136" s="11" t="s">
        <v>446</v>
      </c>
      <c r="C136" s="11" t="s">
        <v>447</v>
      </c>
      <c r="D136" s="12">
        <v>66</v>
      </c>
      <c r="E136" s="13" t="s">
        <v>448</v>
      </c>
      <c r="F136" s="11" t="s">
        <v>46</v>
      </c>
      <c r="G136" s="11" t="s">
        <v>46</v>
      </c>
      <c r="H136" s="35">
        <v>14300</v>
      </c>
      <c r="I136" s="35">
        <v>20500</v>
      </c>
      <c r="J136" s="11" t="s">
        <v>29</v>
      </c>
      <c r="K136" s="14">
        <v>8</v>
      </c>
      <c r="L136" s="11" t="str">
        <f>IF(K136&lt;=10, "Baixo", IF(K136&lt;=25, "Médio", "Alto"))</f>
        <v>Baixo</v>
      </c>
      <c r="M136" s="25" t="str">
        <f>IF(AND(L136="Alto", J136="Sim"), "Negada", "Passa")</f>
        <v>Passa</v>
      </c>
      <c r="N136" s="25" t="str">
        <f>IF(AND(I136&gt;50000, J136="Sim"), "Negada", "Passa")</f>
        <v>Passa</v>
      </c>
      <c r="O136" s="39">
        <v>44000</v>
      </c>
      <c r="P136" s="43">
        <f t="shared" si="2"/>
        <v>0</v>
      </c>
    </row>
    <row r="137" spans="1:16">
      <c r="A137" s="10" t="s">
        <v>39</v>
      </c>
      <c r="B137" s="11" t="s">
        <v>449</v>
      </c>
      <c r="C137" s="11" t="s">
        <v>450</v>
      </c>
      <c r="D137" s="12">
        <v>66</v>
      </c>
      <c r="E137" s="13" t="s">
        <v>451</v>
      </c>
      <c r="F137" s="11" t="s">
        <v>131</v>
      </c>
      <c r="G137" s="11" t="s">
        <v>56</v>
      </c>
      <c r="H137" s="35">
        <v>9900</v>
      </c>
      <c r="I137" s="35">
        <v>74500</v>
      </c>
      <c r="J137" s="11" t="s">
        <v>29</v>
      </c>
      <c r="K137" s="14">
        <v>20</v>
      </c>
      <c r="L137" s="11" t="str">
        <f>IF(K137&lt;=10, "Baixo", IF(K137&lt;=25, "Médio", "Alto"))</f>
        <v>Médio</v>
      </c>
      <c r="M137" s="25" t="str">
        <f>IF(AND(L137="Alto", J137="Sim"), "Negada", "Passa")</f>
        <v>Passa</v>
      </c>
      <c r="N137" s="25" t="str">
        <f>IF(AND(I137&gt;50000, J137="Sim"), "Negada", "Passa")</f>
        <v>Negada</v>
      </c>
      <c r="O137" s="39">
        <v>45500</v>
      </c>
      <c r="P137" s="43">
        <f t="shared" si="2"/>
        <v>0</v>
      </c>
    </row>
    <row r="138" spans="1:16">
      <c r="A138" s="10" t="s">
        <v>17</v>
      </c>
      <c r="B138" s="11" t="s">
        <v>452</v>
      </c>
      <c r="C138" s="11" t="s">
        <v>453</v>
      </c>
      <c r="D138" s="12">
        <v>27</v>
      </c>
      <c r="E138" s="13" t="s">
        <v>454</v>
      </c>
      <c r="F138" s="11" t="s">
        <v>233</v>
      </c>
      <c r="G138" s="11" t="s">
        <v>234</v>
      </c>
      <c r="H138" s="35">
        <v>28800</v>
      </c>
      <c r="I138" s="35"/>
      <c r="J138" s="11" t="s">
        <v>35</v>
      </c>
      <c r="K138" s="14"/>
      <c r="L138" s="11" t="str">
        <f>IF(K138&lt;=10, "Baixo", IF(K138&lt;=25, "Médio", "Alto"))</f>
        <v>Baixo</v>
      </c>
      <c r="M138" s="25" t="str">
        <f>IF(AND(L138="Alto", J138="Sim"), "Negada", "Passa")</f>
        <v>Passa</v>
      </c>
      <c r="N138" s="25" t="str">
        <f>IF(AND(I138&gt;50000, J138="Sim"), "Negada", "Passa")</f>
        <v>Passa</v>
      </c>
      <c r="O138" s="39"/>
      <c r="P138" s="43">
        <f t="shared" si="2"/>
        <v>0</v>
      </c>
    </row>
    <row r="139" spans="1:16">
      <c r="A139" s="10" t="s">
        <v>17</v>
      </c>
      <c r="B139" s="11" t="s">
        <v>455</v>
      </c>
      <c r="C139" s="11" t="s">
        <v>456</v>
      </c>
      <c r="D139" s="12">
        <v>25</v>
      </c>
      <c r="E139" s="13" t="s">
        <v>457</v>
      </c>
      <c r="F139" s="11" t="s">
        <v>71</v>
      </c>
      <c r="G139" s="11" t="s">
        <v>72</v>
      </c>
      <c r="H139" s="35"/>
      <c r="I139" s="35"/>
      <c r="J139" s="11" t="s">
        <v>35</v>
      </c>
      <c r="K139" s="14"/>
      <c r="L139" s="11" t="str">
        <f>IF(K139&lt;=10, "Baixo", IF(K139&lt;=25, "Médio", "Alto"))</f>
        <v>Baixo</v>
      </c>
      <c r="M139" s="25" t="str">
        <f>IF(AND(L139="Alto", J139="Sim"), "Negada", "Passa")</f>
        <v>Passa</v>
      </c>
      <c r="N139" s="25" t="str">
        <f>IF(AND(I139&gt;50000, J139="Sim"), "Negada", "Passa")</f>
        <v>Passa</v>
      </c>
      <c r="O139" s="39"/>
      <c r="P139" s="43">
        <f t="shared" si="2"/>
        <v>0</v>
      </c>
    </row>
    <row r="140" spans="1:16">
      <c r="A140" s="10" t="s">
        <v>17</v>
      </c>
      <c r="B140" s="11" t="s">
        <v>458</v>
      </c>
      <c r="C140" s="11" t="s">
        <v>459</v>
      </c>
      <c r="D140" s="12">
        <v>37</v>
      </c>
      <c r="E140" s="13" t="s">
        <v>460</v>
      </c>
      <c r="F140" s="11" t="s">
        <v>131</v>
      </c>
      <c r="G140" s="11" t="s">
        <v>56</v>
      </c>
      <c r="H140" s="35">
        <v>24700</v>
      </c>
      <c r="I140" s="35"/>
      <c r="J140" s="11" t="s">
        <v>35</v>
      </c>
      <c r="K140" s="14">
        <v>0</v>
      </c>
      <c r="L140" s="11" t="str">
        <f>IF(K140&lt;=10, "Baixo", IF(K140&lt;=25, "Médio", "Alto"))</f>
        <v>Baixo</v>
      </c>
      <c r="M140" s="25" t="str">
        <f>IF(AND(L140="Alto", J140="Sim"), "Negada", "Passa")</f>
        <v>Passa</v>
      </c>
      <c r="N140" s="25" t="str">
        <f>IF(AND(I140&gt;50000, J140="Sim"), "Negada", "Passa")</f>
        <v>Passa</v>
      </c>
      <c r="O140" s="39">
        <v>81000</v>
      </c>
      <c r="P140" s="43">
        <f t="shared" si="2"/>
        <v>87480</v>
      </c>
    </row>
    <row r="141" spans="1:16">
      <c r="A141" s="10" t="s">
        <v>39</v>
      </c>
      <c r="B141" s="11" t="s">
        <v>461</v>
      </c>
      <c r="C141" s="11" t="s">
        <v>462</v>
      </c>
      <c r="D141" s="12">
        <v>47</v>
      </c>
      <c r="E141" s="13" t="s">
        <v>463</v>
      </c>
      <c r="F141" s="11" t="s">
        <v>33</v>
      </c>
      <c r="G141" s="11" t="s">
        <v>34</v>
      </c>
      <c r="H141" s="35">
        <v>13300</v>
      </c>
      <c r="I141" s="35">
        <v>23500</v>
      </c>
      <c r="J141" s="15" t="s">
        <v>23</v>
      </c>
      <c r="K141" s="14">
        <v>10</v>
      </c>
      <c r="L141" s="11" t="str">
        <f>IF(K141&lt;=10, "Baixo", IF(K141&lt;=25, "Médio", "Alto"))</f>
        <v>Baixo</v>
      </c>
      <c r="M141" s="25" t="str">
        <f>IF(AND(L141="Alto", J141="Sim"), "Negada", "Passa")</f>
        <v>Passa</v>
      </c>
      <c r="N141" s="25" t="str">
        <f>IF(AND(I141&gt;50000, J141="Sim"), "Negada", "Passa")</f>
        <v>Passa</v>
      </c>
      <c r="O141" s="39">
        <v>21500</v>
      </c>
      <c r="P141" s="43">
        <f t="shared" si="2"/>
        <v>0</v>
      </c>
    </row>
    <row r="142" spans="1:16">
      <c r="A142" s="10" t="s">
        <v>39</v>
      </c>
      <c r="B142" s="11" t="s">
        <v>464</v>
      </c>
      <c r="C142" s="11" t="s">
        <v>465</v>
      </c>
      <c r="D142" s="12">
        <v>63</v>
      </c>
      <c r="E142" s="13" t="s">
        <v>466</v>
      </c>
      <c r="F142" s="11" t="s">
        <v>82</v>
      </c>
      <c r="G142" s="11" t="s">
        <v>22</v>
      </c>
      <c r="H142" s="35">
        <v>29000</v>
      </c>
      <c r="I142" s="35"/>
      <c r="J142" s="11" t="s">
        <v>35</v>
      </c>
      <c r="K142" s="14"/>
      <c r="L142" s="11" t="str">
        <f>IF(K142&lt;=10, "Baixo", IF(K142&lt;=25, "Médio", "Alto"))</f>
        <v>Baixo</v>
      </c>
      <c r="M142" s="25" t="str">
        <f>IF(AND(L142="Alto", J142="Sim"), "Negada", "Passa")</f>
        <v>Passa</v>
      </c>
      <c r="N142" s="25" t="str">
        <f>IF(AND(I142&gt;50000, J142="Sim"), "Negada", "Passa")</f>
        <v>Passa</v>
      </c>
      <c r="O142" s="39"/>
      <c r="P142" s="43">
        <f t="shared" si="2"/>
        <v>0</v>
      </c>
    </row>
    <row r="143" spans="1:16">
      <c r="A143" s="10" t="s">
        <v>39</v>
      </c>
      <c r="B143" s="11" t="s">
        <v>467</v>
      </c>
      <c r="C143" s="11" t="s">
        <v>468</v>
      </c>
      <c r="D143" s="12">
        <v>58</v>
      </c>
      <c r="E143" s="13" t="s">
        <v>469</v>
      </c>
      <c r="F143" s="11" t="s">
        <v>21</v>
      </c>
      <c r="G143" s="11" t="s">
        <v>22</v>
      </c>
      <c r="H143" s="35">
        <v>20100</v>
      </c>
      <c r="I143" s="35">
        <v>4000</v>
      </c>
      <c r="J143" s="11" t="s">
        <v>23</v>
      </c>
      <c r="K143" s="14">
        <v>4</v>
      </c>
      <c r="L143" s="11" t="str">
        <f>IF(K143&lt;=10, "Baixo", IF(K143&lt;=25, "Médio", "Alto"))</f>
        <v>Baixo</v>
      </c>
      <c r="M143" s="25" t="str">
        <f>IF(AND(L143="Alto", J143="Sim"), "Negada", "Passa")</f>
        <v>Passa</v>
      </c>
      <c r="N143" s="25" t="str">
        <f>IF(AND(I143&gt;50000, J143="Sim"), "Negada", "Passa")</f>
        <v>Passa</v>
      </c>
      <c r="O143" s="39">
        <v>8500</v>
      </c>
      <c r="P143" s="43">
        <f t="shared" si="2"/>
        <v>0</v>
      </c>
    </row>
    <row r="144" spans="1:16">
      <c r="A144" s="10" t="s">
        <v>17</v>
      </c>
      <c r="B144" s="11" t="s">
        <v>470</v>
      </c>
      <c r="C144" s="11" t="s">
        <v>471</v>
      </c>
      <c r="D144" s="12">
        <v>69</v>
      </c>
      <c r="E144" s="13" t="s">
        <v>35</v>
      </c>
      <c r="F144" s="11" t="s">
        <v>50</v>
      </c>
      <c r="G144" s="11" t="s">
        <v>51</v>
      </c>
      <c r="H144" s="35">
        <v>11400</v>
      </c>
      <c r="I144" s="35">
        <v>30500</v>
      </c>
      <c r="J144" s="11" t="s">
        <v>23</v>
      </c>
      <c r="K144" s="14">
        <v>28</v>
      </c>
      <c r="L144" s="11" t="str">
        <f>IF(K144&lt;=10, "Baixo", IF(K144&lt;=25, "Médio", "Alto"))</f>
        <v>Alto</v>
      </c>
      <c r="M144" s="25" t="str">
        <f>IF(AND(L144="Alto", J144="Sim"), "Negada", "Passa")</f>
        <v>Passa</v>
      </c>
      <c r="N144" s="25" t="str">
        <f>IF(AND(I144&gt;50000, J144="Sim"), "Negada", "Passa")</f>
        <v>Passa</v>
      </c>
      <c r="O144" s="39">
        <v>48000</v>
      </c>
      <c r="P144" s="43">
        <f t="shared" si="2"/>
        <v>51840</v>
      </c>
    </row>
    <row r="145" spans="1:16">
      <c r="A145" s="10" t="s">
        <v>17</v>
      </c>
      <c r="B145" s="11" t="s">
        <v>472</v>
      </c>
      <c r="C145" s="11" t="s">
        <v>473</v>
      </c>
      <c r="D145" s="12">
        <v>48</v>
      </c>
      <c r="E145" s="13" t="s">
        <v>474</v>
      </c>
      <c r="F145" s="11" t="s">
        <v>319</v>
      </c>
      <c r="G145" s="11" t="s">
        <v>56</v>
      </c>
      <c r="H145" s="35">
        <v>13300</v>
      </c>
      <c r="I145" s="35">
        <v>71000</v>
      </c>
      <c r="J145" s="11" t="s">
        <v>23</v>
      </c>
      <c r="K145" s="14">
        <v>28</v>
      </c>
      <c r="L145" s="11" t="str">
        <f>IF(K145&lt;=10, "Baixo", IF(K145&lt;=25, "Médio", "Alto"))</f>
        <v>Alto</v>
      </c>
      <c r="M145" s="25" t="str">
        <f>IF(AND(L145="Alto", J145="Sim"), "Negada", "Passa")</f>
        <v>Passa</v>
      </c>
      <c r="N145" s="25" t="str">
        <f>IF(AND(I145&gt;50000, J145="Sim"), "Negada", "Passa")</f>
        <v>Passa</v>
      </c>
      <c r="O145" s="39">
        <v>36500</v>
      </c>
      <c r="P145" s="43">
        <f t="shared" si="2"/>
        <v>39420</v>
      </c>
    </row>
    <row r="146" spans="1:16">
      <c r="A146" s="10" t="s">
        <v>17</v>
      </c>
      <c r="B146" s="11" t="s">
        <v>472</v>
      </c>
      <c r="C146" s="11" t="s">
        <v>475</v>
      </c>
      <c r="D146" s="12">
        <v>32</v>
      </c>
      <c r="E146" s="13" t="s">
        <v>476</v>
      </c>
      <c r="F146" s="11" t="s">
        <v>71</v>
      </c>
      <c r="G146" s="11" t="s">
        <v>72</v>
      </c>
      <c r="H146" s="35">
        <v>30000</v>
      </c>
      <c r="I146" s="35">
        <v>58000</v>
      </c>
      <c r="J146" s="11" t="s">
        <v>35</v>
      </c>
      <c r="K146" s="14">
        <v>23</v>
      </c>
      <c r="L146" s="11" t="str">
        <f>IF(K146&lt;=10, "Baixo", IF(K146&lt;=25, "Médio", "Alto"))</f>
        <v>Médio</v>
      </c>
      <c r="M146" s="25" t="str">
        <f>IF(AND(L146="Alto", J146="Sim"), "Negada", "Passa")</f>
        <v>Passa</v>
      </c>
      <c r="N146" s="25" t="str">
        <f>IF(AND(I146&gt;50000, J146="Sim"), "Negada", "Passa")</f>
        <v>Passa</v>
      </c>
      <c r="O146" s="39">
        <v>81500</v>
      </c>
      <c r="P146" s="43">
        <f t="shared" si="2"/>
        <v>88020</v>
      </c>
    </row>
    <row r="147" spans="1:16">
      <c r="A147" s="10" t="s">
        <v>17</v>
      </c>
      <c r="B147" s="11" t="s">
        <v>477</v>
      </c>
      <c r="C147" s="11" t="s">
        <v>478</v>
      </c>
      <c r="D147" s="12"/>
      <c r="E147" s="13" t="s">
        <v>479</v>
      </c>
      <c r="F147" s="11" t="s">
        <v>92</v>
      </c>
      <c r="G147" s="11" t="s">
        <v>93</v>
      </c>
      <c r="H147" s="35">
        <v>28600</v>
      </c>
      <c r="I147" s="35"/>
      <c r="J147" s="11" t="s">
        <v>35</v>
      </c>
      <c r="K147" s="14"/>
      <c r="L147" s="11" t="str">
        <f>IF(K147&lt;=10, "Baixo", IF(K147&lt;=25, "Médio", "Alto"))</f>
        <v>Baixo</v>
      </c>
      <c r="M147" s="25" t="str">
        <f>IF(AND(L147="Alto", J147="Sim"), "Negada", "Passa")</f>
        <v>Passa</v>
      </c>
      <c r="N147" s="25" t="str">
        <f>IF(AND(I147&gt;50000, J147="Sim"), "Negada", "Passa")</f>
        <v>Passa</v>
      </c>
      <c r="O147" s="39"/>
      <c r="P147" s="43">
        <f t="shared" si="2"/>
        <v>0</v>
      </c>
    </row>
    <row r="148" spans="1:16">
      <c r="A148" s="10" t="s">
        <v>17</v>
      </c>
      <c r="B148" s="11" t="s">
        <v>480</v>
      </c>
      <c r="C148" s="11" t="s">
        <v>481</v>
      </c>
      <c r="D148" s="12">
        <v>24</v>
      </c>
      <c r="E148" s="13" t="s">
        <v>482</v>
      </c>
      <c r="F148" s="11" t="s">
        <v>46</v>
      </c>
      <c r="G148" s="11" t="s">
        <v>46</v>
      </c>
      <c r="H148" s="35">
        <v>8900</v>
      </c>
      <c r="I148" s="35">
        <v>75500</v>
      </c>
      <c r="J148" s="11" t="s">
        <v>29</v>
      </c>
      <c r="K148" s="14">
        <v>2</v>
      </c>
      <c r="L148" s="11" t="str">
        <f>IF(K148&lt;=10, "Baixo", IF(K148&lt;=25, "Médio", "Alto"))</f>
        <v>Baixo</v>
      </c>
      <c r="M148" s="25" t="str">
        <f>IF(AND(L148="Alto", J148="Sim"), "Negada", "Passa")</f>
        <v>Passa</v>
      </c>
      <c r="N148" s="25" t="str">
        <f>IF(AND(I148&gt;50000, J148="Sim"), "Negada", "Passa")</f>
        <v>Negada</v>
      </c>
      <c r="O148" s="39">
        <v>89500</v>
      </c>
      <c r="P148" s="43">
        <f t="shared" si="2"/>
        <v>0</v>
      </c>
    </row>
    <row r="149" spans="1:16">
      <c r="A149" s="10" t="s">
        <v>17</v>
      </c>
      <c r="B149" s="11" t="s">
        <v>483</v>
      </c>
      <c r="C149" s="11" t="s">
        <v>484</v>
      </c>
      <c r="D149" s="12">
        <v>41</v>
      </c>
      <c r="E149" s="13" t="s">
        <v>485</v>
      </c>
      <c r="F149" s="11" t="s">
        <v>233</v>
      </c>
      <c r="G149" s="11" t="s">
        <v>234</v>
      </c>
      <c r="H149" s="35">
        <v>20000</v>
      </c>
      <c r="I149" s="35">
        <f>4*1000</f>
        <v>4000</v>
      </c>
      <c r="J149" s="11" t="s">
        <v>35</v>
      </c>
      <c r="K149" s="14"/>
      <c r="L149" s="11" t="str">
        <f>IF(K149&lt;=10, "Baixo", IF(K149&lt;=25, "Médio", "Alto"))</f>
        <v>Baixo</v>
      </c>
      <c r="M149" s="25" t="str">
        <f>IF(AND(L149="Alto", J149="Sim"), "Negada", "Passa")</f>
        <v>Passa</v>
      </c>
      <c r="N149" s="25" t="str">
        <f>IF(AND(I149&gt;50000, J149="Sim"), "Negada", "Passa")</f>
        <v>Passa</v>
      </c>
      <c r="O149" s="39"/>
      <c r="P149" s="43">
        <f t="shared" si="2"/>
        <v>0</v>
      </c>
    </row>
    <row r="150" spans="1:16">
      <c r="A150" s="10" t="s">
        <v>17</v>
      </c>
      <c r="B150" s="11" t="s">
        <v>486</v>
      </c>
      <c r="C150" s="11" t="s">
        <v>487</v>
      </c>
      <c r="D150" s="12">
        <v>55</v>
      </c>
      <c r="E150" s="13" t="s">
        <v>488</v>
      </c>
      <c r="F150" s="11" t="s">
        <v>27</v>
      </c>
      <c r="G150" s="11" t="s">
        <v>28</v>
      </c>
      <c r="H150" s="35">
        <v>12200</v>
      </c>
      <c r="I150" s="35">
        <v>26000</v>
      </c>
      <c r="J150" s="11" t="s">
        <v>35</v>
      </c>
      <c r="K150" s="14"/>
      <c r="L150" s="11" t="str">
        <f>IF(K150&lt;=10, "Baixo", IF(K150&lt;=25, "Médio", "Alto"))</f>
        <v>Baixo</v>
      </c>
      <c r="M150" s="25" t="str">
        <f>IF(AND(L150="Alto", J150="Sim"), "Negada", "Passa")</f>
        <v>Passa</v>
      </c>
      <c r="N150" s="25" t="str">
        <f>IF(AND(I150&gt;50000, J150="Sim"), "Negada", "Passa")</f>
        <v>Passa</v>
      </c>
      <c r="O150" s="39"/>
      <c r="P150" s="43">
        <f t="shared" si="2"/>
        <v>0</v>
      </c>
    </row>
    <row r="151" spans="1:16">
      <c r="A151" s="10" t="s">
        <v>17</v>
      </c>
      <c r="B151" s="11" t="s">
        <v>489</v>
      </c>
      <c r="C151" s="11" t="s">
        <v>490</v>
      </c>
      <c r="D151" s="12">
        <v>67</v>
      </c>
      <c r="E151" s="13" t="s">
        <v>491</v>
      </c>
      <c r="F151" s="11" t="s">
        <v>21</v>
      </c>
      <c r="G151" s="11" t="s">
        <v>22</v>
      </c>
      <c r="H151" s="35">
        <v>10700</v>
      </c>
      <c r="I151" s="35">
        <v>35000</v>
      </c>
      <c r="J151" s="11" t="s">
        <v>35</v>
      </c>
      <c r="K151" s="14">
        <v>25</v>
      </c>
      <c r="L151" s="11" t="str">
        <f>IF(K151&lt;=10, "Baixo", IF(K151&lt;=25, "Médio", "Alto"))</f>
        <v>Médio</v>
      </c>
      <c r="M151" s="25" t="str">
        <f>IF(AND(L151="Alto", J151="Sim"), "Negada", "Passa")</f>
        <v>Passa</v>
      </c>
      <c r="N151" s="25" t="str">
        <f>IF(AND(I151&gt;50000, J151="Sim"), "Negada", "Passa")</f>
        <v>Passa</v>
      </c>
      <c r="O151" s="39">
        <v>59500</v>
      </c>
      <c r="P151" s="43">
        <f t="shared" si="2"/>
        <v>64260.000000000007</v>
      </c>
    </row>
    <row r="152" spans="1:16">
      <c r="A152" s="10" t="s">
        <v>17</v>
      </c>
      <c r="B152" s="11" t="s">
        <v>492</v>
      </c>
      <c r="C152" s="11" t="s">
        <v>493</v>
      </c>
      <c r="D152" s="12">
        <v>65</v>
      </c>
      <c r="E152" s="13" t="s">
        <v>494</v>
      </c>
      <c r="F152" s="11" t="s">
        <v>115</v>
      </c>
      <c r="G152" s="11" t="s">
        <v>116</v>
      </c>
      <c r="H152" s="35">
        <v>27300</v>
      </c>
      <c r="I152" s="35">
        <v>60000</v>
      </c>
      <c r="J152" s="11" t="s">
        <v>23</v>
      </c>
      <c r="K152" s="14">
        <v>18</v>
      </c>
      <c r="L152" s="11" t="str">
        <f>IF(K152&lt;=10, "Baixo", IF(K152&lt;=25, "Médio", "Alto"))</f>
        <v>Médio</v>
      </c>
      <c r="M152" s="25" t="str">
        <f>IF(AND(L152="Alto", J152="Sim"), "Negada", "Passa")</f>
        <v>Passa</v>
      </c>
      <c r="N152" s="25" t="str">
        <f>IF(AND(I152&gt;50000, J152="Sim"), "Negada", "Passa")</f>
        <v>Passa</v>
      </c>
      <c r="O152" s="39">
        <v>54000</v>
      </c>
      <c r="P152" s="43">
        <f t="shared" si="2"/>
        <v>58320.000000000007</v>
      </c>
    </row>
    <row r="153" spans="1:16">
      <c r="A153" s="10" t="s">
        <v>17</v>
      </c>
      <c r="B153" s="11" t="s">
        <v>495</v>
      </c>
      <c r="C153" s="11" t="s">
        <v>496</v>
      </c>
      <c r="D153" s="12">
        <v>65</v>
      </c>
      <c r="E153" s="13" t="s">
        <v>497</v>
      </c>
      <c r="F153" s="11" t="s">
        <v>233</v>
      </c>
      <c r="G153" s="11" t="s">
        <v>234</v>
      </c>
      <c r="H153" s="35">
        <v>6100</v>
      </c>
      <c r="I153" s="35">
        <v>47500</v>
      </c>
      <c r="J153" s="11" t="s">
        <v>23</v>
      </c>
      <c r="K153" s="14">
        <v>45</v>
      </c>
      <c r="L153" s="11" t="str">
        <f>IF(K153&lt;=10, "Baixo", IF(K153&lt;=25, "Médio", "Alto"))</f>
        <v>Alto</v>
      </c>
      <c r="M153" s="25" t="str">
        <f>IF(AND(L153="Alto", J153="Sim"), "Negada", "Passa")</f>
        <v>Passa</v>
      </c>
      <c r="N153" s="25" t="str">
        <f>IF(AND(I153&gt;50000, J153="Sim"), "Negada", "Passa")</f>
        <v>Passa</v>
      </c>
      <c r="O153" s="39">
        <v>60500</v>
      </c>
      <c r="P153" s="43">
        <f t="shared" si="2"/>
        <v>65340.000000000007</v>
      </c>
    </row>
    <row r="154" spans="1:16">
      <c r="A154" s="10" t="s">
        <v>17</v>
      </c>
      <c r="B154" s="11" t="s">
        <v>498</v>
      </c>
      <c r="C154" s="11" t="s">
        <v>499</v>
      </c>
      <c r="D154" s="12">
        <v>20</v>
      </c>
      <c r="E154" s="13" t="s">
        <v>500</v>
      </c>
      <c r="F154" s="11" t="s">
        <v>82</v>
      </c>
      <c r="G154" s="11" t="s">
        <v>22</v>
      </c>
      <c r="H154" s="35">
        <v>9300</v>
      </c>
      <c r="I154" s="35">
        <v>75500</v>
      </c>
      <c r="J154" s="15" t="s">
        <v>29</v>
      </c>
      <c r="K154" s="14">
        <v>25</v>
      </c>
      <c r="L154" s="11" t="str">
        <f>IF(K154&lt;=10, "Baixo", IF(K154&lt;=25, "Médio", "Alto"))</f>
        <v>Médio</v>
      </c>
      <c r="M154" s="25" t="str">
        <f>IF(AND(L154="Alto", J154="Sim"), "Negada", "Passa")</f>
        <v>Passa</v>
      </c>
      <c r="N154" s="25" t="str">
        <f>IF(AND(I154&gt;50000, J154="Sim"), "Negada", "Passa")</f>
        <v>Negada</v>
      </c>
      <c r="O154" s="39"/>
      <c r="P154" s="43">
        <f t="shared" si="2"/>
        <v>0</v>
      </c>
    </row>
    <row r="155" spans="1:16">
      <c r="A155" s="10" t="s">
        <v>17</v>
      </c>
      <c r="B155" s="11" t="s">
        <v>501</v>
      </c>
      <c r="C155" s="11" t="s">
        <v>502</v>
      </c>
      <c r="D155" s="12">
        <v>59</v>
      </c>
      <c r="E155" s="13" t="s">
        <v>503</v>
      </c>
      <c r="F155" s="11" t="s">
        <v>319</v>
      </c>
      <c r="G155" s="11" t="s">
        <v>56</v>
      </c>
      <c r="H155" s="35">
        <v>18900</v>
      </c>
      <c r="I155" s="35">
        <v>6000</v>
      </c>
      <c r="J155" s="11" t="s">
        <v>29</v>
      </c>
      <c r="K155" s="14">
        <v>1</v>
      </c>
      <c r="L155" s="11" t="str">
        <f>IF(K155&lt;=10, "Baixo", IF(K155&lt;=25, "Médio", "Alto"))</f>
        <v>Baixo</v>
      </c>
      <c r="M155" s="25" t="str">
        <f>IF(AND(L155="Alto", J155="Sim"), "Negada", "Passa")</f>
        <v>Passa</v>
      </c>
      <c r="N155" s="25" t="str">
        <f>IF(AND(I155&gt;50000, J155="Sim"), "Negada", "Passa")</f>
        <v>Passa</v>
      </c>
      <c r="O155" s="39">
        <v>4500</v>
      </c>
      <c r="P155" s="43">
        <f t="shared" si="2"/>
        <v>4860</v>
      </c>
    </row>
    <row r="156" spans="1:16">
      <c r="A156" s="10" t="s">
        <v>17</v>
      </c>
      <c r="B156" s="11" t="s">
        <v>504</v>
      </c>
      <c r="C156" s="11" t="s">
        <v>505</v>
      </c>
      <c r="D156" s="12"/>
      <c r="E156" s="13" t="s">
        <v>506</v>
      </c>
      <c r="F156" s="11" t="s">
        <v>46</v>
      </c>
      <c r="G156" s="11" t="s">
        <v>46</v>
      </c>
      <c r="H156" s="35">
        <v>23200</v>
      </c>
      <c r="I156" s="35"/>
      <c r="J156" s="11" t="s">
        <v>29</v>
      </c>
      <c r="K156" s="14">
        <v>34</v>
      </c>
      <c r="L156" s="11" t="str">
        <f>IF(K156&lt;=10, "Baixo", IF(K156&lt;=25, "Médio", "Alto"))</f>
        <v>Alto</v>
      </c>
      <c r="M156" s="25" t="str">
        <f>IF(AND(L156="Alto", J156="Sim"), "Negada", "Passa")</f>
        <v>Negada</v>
      </c>
      <c r="N156" s="25" t="str">
        <f>IF(AND(I156&gt;50000, J156="Sim"), "Negada", "Passa")</f>
        <v>Passa</v>
      </c>
      <c r="O156" s="39">
        <v>16000</v>
      </c>
      <c r="P156" s="43">
        <f t="shared" si="2"/>
        <v>0</v>
      </c>
    </row>
    <row r="157" spans="1:16">
      <c r="A157" s="10" t="s">
        <v>17</v>
      </c>
      <c r="B157" s="11" t="s">
        <v>507</v>
      </c>
      <c r="C157" s="11" t="s">
        <v>508</v>
      </c>
      <c r="D157" s="12">
        <v>29</v>
      </c>
      <c r="E157" s="13" t="s">
        <v>509</v>
      </c>
      <c r="F157" s="11" t="s">
        <v>135</v>
      </c>
      <c r="G157" s="11" t="s">
        <v>93</v>
      </c>
      <c r="H157" s="35">
        <v>10000</v>
      </c>
      <c r="I157" s="35">
        <v>36500</v>
      </c>
      <c r="J157" s="11" t="s">
        <v>23</v>
      </c>
      <c r="K157" s="14">
        <v>33</v>
      </c>
      <c r="L157" s="11" t="str">
        <f>IF(K157&lt;=10, "Baixo", IF(K157&lt;=25, "Médio", "Alto"))</f>
        <v>Alto</v>
      </c>
      <c r="M157" s="25" t="str">
        <f>IF(AND(L157="Alto", J157="Sim"), "Negada", "Passa")</f>
        <v>Passa</v>
      </c>
      <c r="N157" s="25" t="str">
        <f>IF(AND(I157&gt;50000, J157="Sim"), "Negada", "Passa")</f>
        <v>Passa</v>
      </c>
      <c r="O157" s="39">
        <v>60000</v>
      </c>
      <c r="P157" s="43">
        <f t="shared" si="2"/>
        <v>64800.000000000007</v>
      </c>
    </row>
    <row r="158" spans="1:16">
      <c r="A158" s="10" t="s">
        <v>17</v>
      </c>
      <c r="B158" s="11" t="s">
        <v>510</v>
      </c>
      <c r="C158" s="11" t="s">
        <v>511</v>
      </c>
      <c r="D158" s="12">
        <v>52</v>
      </c>
      <c r="E158" s="13" t="s">
        <v>512</v>
      </c>
      <c r="F158" s="11" t="s">
        <v>233</v>
      </c>
      <c r="G158" s="11" t="s">
        <v>234</v>
      </c>
      <c r="H158" s="35">
        <v>24900</v>
      </c>
      <c r="I158" s="35"/>
      <c r="J158" s="11" t="s">
        <v>23</v>
      </c>
      <c r="K158" s="14">
        <v>22</v>
      </c>
      <c r="L158" s="11" t="str">
        <f>IF(K158&lt;=10, "Baixo", IF(K158&lt;=25, "Médio", "Alto"))</f>
        <v>Médio</v>
      </c>
      <c r="M158" s="25" t="str">
        <f>IF(AND(L158="Alto", J158="Sim"), "Negada", "Passa")</f>
        <v>Passa</v>
      </c>
      <c r="N158" s="25" t="str">
        <f>IF(AND(I158&gt;50000, J158="Sim"), "Negada", "Passa")</f>
        <v>Passa</v>
      </c>
      <c r="O158" s="39">
        <v>51500</v>
      </c>
      <c r="P158" s="43">
        <f t="shared" si="2"/>
        <v>55620.000000000007</v>
      </c>
    </row>
    <row r="159" spans="1:16">
      <c r="A159" s="10" t="s">
        <v>17</v>
      </c>
      <c r="B159" s="11" t="s">
        <v>510</v>
      </c>
      <c r="C159" s="11" t="s">
        <v>513</v>
      </c>
      <c r="D159" s="12">
        <v>26</v>
      </c>
      <c r="E159" s="13" t="s">
        <v>514</v>
      </c>
      <c r="F159" s="11" t="s">
        <v>233</v>
      </c>
      <c r="G159" s="11" t="s">
        <v>234</v>
      </c>
      <c r="H159" s="35">
        <v>25000</v>
      </c>
      <c r="I159" s="35"/>
      <c r="J159" s="11" t="s">
        <v>23</v>
      </c>
      <c r="K159" s="14">
        <v>15</v>
      </c>
      <c r="L159" s="11" t="str">
        <f>IF(K159&lt;=10, "Baixo", IF(K159&lt;=25, "Médio", "Alto"))</f>
        <v>Médio</v>
      </c>
      <c r="M159" s="25" t="str">
        <f>IF(AND(L159="Alto", J159="Sim"), "Negada", "Passa")</f>
        <v>Passa</v>
      </c>
      <c r="N159" s="25" t="str">
        <f>IF(AND(I159&gt;50000, J159="Sim"), "Negada", "Passa")</f>
        <v>Passa</v>
      </c>
      <c r="O159" s="39">
        <v>67000</v>
      </c>
      <c r="P159" s="43">
        <f t="shared" si="2"/>
        <v>72360</v>
      </c>
    </row>
    <row r="160" spans="1:16">
      <c r="A160" s="10" t="s">
        <v>39</v>
      </c>
      <c r="B160" s="11" t="s">
        <v>515</v>
      </c>
      <c r="C160" s="11" t="s">
        <v>516</v>
      </c>
      <c r="D160" s="12">
        <v>48</v>
      </c>
      <c r="E160" s="13" t="s">
        <v>517</v>
      </c>
      <c r="F160" s="11" t="s">
        <v>135</v>
      </c>
      <c r="G160" s="11" t="s">
        <v>93</v>
      </c>
      <c r="H160" s="35">
        <v>12400</v>
      </c>
      <c r="I160" s="35">
        <v>25500</v>
      </c>
      <c r="J160" s="11" t="s">
        <v>23</v>
      </c>
      <c r="K160" s="14">
        <v>15</v>
      </c>
      <c r="L160" s="11" t="str">
        <f>IF(K160&lt;=10, "Baixo", IF(K160&lt;=25, "Médio", "Alto"))</f>
        <v>Médio</v>
      </c>
      <c r="M160" s="25" t="str">
        <f>IF(AND(L160="Alto", J160="Sim"), "Negada", "Passa")</f>
        <v>Passa</v>
      </c>
      <c r="N160" s="25" t="str">
        <f>IF(AND(I160&gt;50000, J160="Sim"), "Negada", "Passa")</f>
        <v>Passa</v>
      </c>
      <c r="O160" s="39">
        <v>66000</v>
      </c>
      <c r="P160" s="43">
        <f t="shared" si="2"/>
        <v>0</v>
      </c>
    </row>
    <row r="161" spans="1:16">
      <c r="A161" s="10" t="s">
        <v>17</v>
      </c>
      <c r="B161" s="11" t="s">
        <v>518</v>
      </c>
      <c r="C161" s="11" t="s">
        <v>519</v>
      </c>
      <c r="D161" s="12">
        <v>63</v>
      </c>
      <c r="E161" s="13" t="s">
        <v>520</v>
      </c>
      <c r="F161" s="11" t="s">
        <v>60</v>
      </c>
      <c r="G161" s="11" t="s">
        <v>61</v>
      </c>
      <c r="H161" s="35">
        <v>10400</v>
      </c>
      <c r="I161" s="35">
        <v>35000</v>
      </c>
      <c r="J161" s="11" t="s">
        <v>23</v>
      </c>
      <c r="K161" s="14">
        <v>5</v>
      </c>
      <c r="L161" s="11" t="str">
        <f>IF(K161&lt;=10, "Baixo", IF(K161&lt;=25, "Médio", "Alto"))</f>
        <v>Baixo</v>
      </c>
      <c r="M161" s="25" t="str">
        <f>IF(AND(L161="Alto", J161="Sim"), "Negada", "Passa")</f>
        <v>Passa</v>
      </c>
      <c r="N161" s="25" t="str">
        <f>IF(AND(I161&gt;50000, J161="Sim"), "Negada", "Passa")</f>
        <v>Passa</v>
      </c>
      <c r="O161" s="39">
        <v>10500</v>
      </c>
      <c r="P161" s="43">
        <f t="shared" si="2"/>
        <v>11340</v>
      </c>
    </row>
    <row r="162" spans="1:16">
      <c r="A162" s="10" t="s">
        <v>39</v>
      </c>
      <c r="B162" s="11" t="s">
        <v>518</v>
      </c>
      <c r="C162" s="11" t="s">
        <v>521</v>
      </c>
      <c r="D162" s="12">
        <v>39</v>
      </c>
      <c r="E162" s="13" t="s">
        <v>522</v>
      </c>
      <c r="F162" s="11" t="s">
        <v>115</v>
      </c>
      <c r="G162" s="11" t="s">
        <v>116</v>
      </c>
      <c r="H162" s="35">
        <v>22200</v>
      </c>
      <c r="I162" s="35"/>
      <c r="J162" s="11" t="s">
        <v>23</v>
      </c>
      <c r="K162" s="14">
        <v>3</v>
      </c>
      <c r="L162" s="11" t="str">
        <f>IF(K162&lt;=10, "Baixo", IF(K162&lt;=25, "Médio", "Alto"))</f>
        <v>Baixo</v>
      </c>
      <c r="M162" s="25" t="str">
        <f>IF(AND(L162="Alto", J162="Sim"), "Negada", "Passa")</f>
        <v>Passa</v>
      </c>
      <c r="N162" s="25" t="str">
        <f>IF(AND(I162&gt;50000, J162="Sim"), "Negada", "Passa")</f>
        <v>Passa</v>
      </c>
      <c r="O162" s="39">
        <v>2500</v>
      </c>
      <c r="P162" s="43">
        <f t="shared" si="2"/>
        <v>0</v>
      </c>
    </row>
    <row r="163" spans="1:16">
      <c r="A163" s="10" t="s">
        <v>17</v>
      </c>
      <c r="B163" s="11" t="s">
        <v>523</v>
      </c>
      <c r="C163" s="11" t="s">
        <v>524</v>
      </c>
      <c r="D163" s="12">
        <v>49</v>
      </c>
      <c r="E163" s="13" t="s">
        <v>525</v>
      </c>
      <c r="F163" s="11" t="s">
        <v>135</v>
      </c>
      <c r="G163" s="11" t="s">
        <v>93</v>
      </c>
      <c r="H163" s="35">
        <v>28400</v>
      </c>
      <c r="I163" s="35"/>
      <c r="J163" s="11" t="s">
        <v>35</v>
      </c>
      <c r="K163" s="14"/>
      <c r="L163" s="11" t="str">
        <f>IF(K163&lt;=10, "Baixo", IF(K163&lt;=25, "Médio", "Alto"))</f>
        <v>Baixo</v>
      </c>
      <c r="M163" s="25" t="str">
        <f>IF(AND(L163="Alto", J163="Sim"), "Negada", "Passa")</f>
        <v>Passa</v>
      </c>
      <c r="N163" s="25" t="str">
        <f>IF(AND(I163&gt;50000, J163="Sim"), "Negada", "Passa")</f>
        <v>Passa</v>
      </c>
      <c r="O163" s="39"/>
      <c r="P163" s="43">
        <f t="shared" si="2"/>
        <v>0</v>
      </c>
    </row>
    <row r="164" spans="1:16">
      <c r="A164" s="10" t="s">
        <v>17</v>
      </c>
      <c r="B164" s="11" t="s">
        <v>526</v>
      </c>
      <c r="C164" s="11" t="s">
        <v>527</v>
      </c>
      <c r="D164" s="12">
        <v>44</v>
      </c>
      <c r="E164" s="13" t="s">
        <v>528</v>
      </c>
      <c r="F164" s="11" t="s">
        <v>33</v>
      </c>
      <c r="G164" s="11" t="s">
        <v>34</v>
      </c>
      <c r="H164" s="35">
        <v>21700</v>
      </c>
      <c r="I164" s="35"/>
      <c r="J164" s="11" t="s">
        <v>23</v>
      </c>
      <c r="K164" s="14">
        <v>10</v>
      </c>
      <c r="L164" s="11" t="str">
        <f>IF(K164&lt;=10, "Baixo", IF(K164&lt;=25, "Médio", "Alto"))</f>
        <v>Baixo</v>
      </c>
      <c r="M164" s="25" t="str">
        <f>IF(AND(L164="Alto", J164="Sim"), "Negada", "Passa")</f>
        <v>Passa</v>
      </c>
      <c r="N164" s="25" t="str">
        <f>IF(AND(I164&gt;50000, J164="Sim"), "Negada", "Passa")</f>
        <v>Passa</v>
      </c>
      <c r="O164" s="39">
        <v>69500</v>
      </c>
      <c r="P164" s="43">
        <f t="shared" si="2"/>
        <v>75060</v>
      </c>
    </row>
    <row r="165" spans="1:16">
      <c r="A165" s="10" t="s">
        <v>39</v>
      </c>
      <c r="B165" s="11" t="s">
        <v>526</v>
      </c>
      <c r="C165" s="11" t="s">
        <v>529</v>
      </c>
      <c r="D165" s="12">
        <v>62</v>
      </c>
      <c r="E165" s="13" t="s">
        <v>530</v>
      </c>
      <c r="F165" s="11" t="s">
        <v>92</v>
      </c>
      <c r="G165" s="11" t="s">
        <v>93</v>
      </c>
      <c r="H165" s="35"/>
      <c r="I165" s="35"/>
      <c r="J165" s="11" t="s">
        <v>35</v>
      </c>
      <c r="K165" s="14"/>
      <c r="L165" s="11" t="str">
        <f>IF(K165&lt;=10, "Baixo", IF(K165&lt;=25, "Médio", "Alto"))</f>
        <v>Baixo</v>
      </c>
      <c r="M165" s="25" t="str">
        <f>IF(AND(L165="Alto", J165="Sim"), "Negada", "Passa")</f>
        <v>Passa</v>
      </c>
      <c r="N165" s="25" t="str">
        <f>IF(AND(I165&gt;50000, J165="Sim"), "Negada", "Passa")</f>
        <v>Passa</v>
      </c>
      <c r="O165" s="39"/>
      <c r="P165" s="43">
        <f t="shared" si="2"/>
        <v>0</v>
      </c>
    </row>
    <row r="166" spans="1:16">
      <c r="A166" s="10" t="s">
        <v>17</v>
      </c>
      <c r="B166" s="11" t="s">
        <v>531</v>
      </c>
      <c r="C166" s="11" t="s">
        <v>532</v>
      </c>
      <c r="D166" s="12">
        <v>37</v>
      </c>
      <c r="E166" s="13" t="s">
        <v>533</v>
      </c>
      <c r="F166" s="11" t="s">
        <v>92</v>
      </c>
      <c r="G166" s="11" t="s">
        <v>93</v>
      </c>
      <c r="H166" s="35">
        <v>12800</v>
      </c>
      <c r="I166" s="35">
        <v>25000</v>
      </c>
      <c r="J166" s="11" t="s">
        <v>35</v>
      </c>
      <c r="K166" s="14"/>
      <c r="L166" s="11" t="str">
        <f>IF(K166&lt;=10, "Baixo", IF(K166&lt;=25, "Médio", "Alto"))</f>
        <v>Baixo</v>
      </c>
      <c r="M166" s="25" t="str">
        <f>IF(AND(L166="Alto", J166="Sim"), "Negada", "Passa")</f>
        <v>Passa</v>
      </c>
      <c r="N166" s="25" t="str">
        <f>IF(AND(I166&gt;50000, J166="Sim"), "Negada", "Passa")</f>
        <v>Passa</v>
      </c>
      <c r="O166" s="39"/>
      <c r="P166" s="43">
        <f t="shared" si="2"/>
        <v>0</v>
      </c>
    </row>
    <row r="167" spans="1:16">
      <c r="A167" s="10" t="s">
        <v>17</v>
      </c>
      <c r="B167" s="11" t="s">
        <v>531</v>
      </c>
      <c r="C167" s="11" t="s">
        <v>534</v>
      </c>
      <c r="D167" s="12">
        <v>53</v>
      </c>
      <c r="E167" s="13" t="s">
        <v>535</v>
      </c>
      <c r="F167" s="11" t="s">
        <v>92</v>
      </c>
      <c r="G167" s="11" t="s">
        <v>93</v>
      </c>
      <c r="H167" s="35">
        <v>15500</v>
      </c>
      <c r="I167" s="35">
        <v>17000</v>
      </c>
      <c r="J167" s="11" t="s">
        <v>23</v>
      </c>
      <c r="K167" s="14">
        <v>20</v>
      </c>
      <c r="L167" s="11" t="str">
        <f>IF(K167&lt;=10, "Baixo", IF(K167&lt;=25, "Médio", "Alto"))</f>
        <v>Médio</v>
      </c>
      <c r="M167" s="25" t="str">
        <f>IF(AND(L167="Alto", J167="Sim"), "Negada", "Passa")</f>
        <v>Passa</v>
      </c>
      <c r="N167" s="25" t="str">
        <f>IF(AND(I167&gt;50000, J167="Sim"), "Negada", "Passa")</f>
        <v>Passa</v>
      </c>
      <c r="O167" s="39">
        <v>29500</v>
      </c>
      <c r="P167" s="43">
        <f t="shared" si="2"/>
        <v>31860.000000000004</v>
      </c>
    </row>
    <row r="168" spans="1:16">
      <c r="A168" s="10" t="s">
        <v>17</v>
      </c>
      <c r="B168" s="11" t="s">
        <v>536</v>
      </c>
      <c r="C168" s="11" t="s">
        <v>537</v>
      </c>
      <c r="D168" s="12">
        <v>37</v>
      </c>
      <c r="E168" s="13" t="s">
        <v>538</v>
      </c>
      <c r="F168" s="11" t="s">
        <v>363</v>
      </c>
      <c r="G168" s="11" t="s">
        <v>28</v>
      </c>
      <c r="H168" s="35">
        <v>2600</v>
      </c>
      <c r="I168" s="35">
        <v>79500</v>
      </c>
      <c r="J168" s="11" t="s">
        <v>23</v>
      </c>
      <c r="K168" s="14">
        <v>36</v>
      </c>
      <c r="L168" s="11" t="str">
        <f>IF(K168&lt;=10, "Baixo", IF(K168&lt;=25, "Médio", "Alto"))</f>
        <v>Alto</v>
      </c>
      <c r="M168" s="25" t="str">
        <f>IF(AND(L168="Alto", J168="Sim"), "Negada", "Passa")</f>
        <v>Passa</v>
      </c>
      <c r="N168" s="25" t="str">
        <f>IF(AND(I168&gt;50000, J168="Sim"), "Negada", "Passa")</f>
        <v>Passa</v>
      </c>
      <c r="O168" s="39">
        <v>1500</v>
      </c>
      <c r="P168" s="43">
        <f t="shared" si="2"/>
        <v>1620</v>
      </c>
    </row>
    <row r="169" spans="1:16">
      <c r="A169" s="10" t="s">
        <v>39</v>
      </c>
      <c r="B169" s="11" t="s">
        <v>536</v>
      </c>
      <c r="C169" s="11" t="s">
        <v>539</v>
      </c>
      <c r="D169" s="12">
        <v>48</v>
      </c>
      <c r="E169" s="13" t="s">
        <v>540</v>
      </c>
      <c r="F169" s="11" t="s">
        <v>135</v>
      </c>
      <c r="G169" s="11" t="s">
        <v>93</v>
      </c>
      <c r="H169" s="35">
        <v>24700</v>
      </c>
      <c r="I169" s="35"/>
      <c r="J169" s="11" t="s">
        <v>35</v>
      </c>
      <c r="K169" s="14">
        <v>24</v>
      </c>
      <c r="L169" s="11" t="str">
        <f>IF(K169&lt;=10, "Baixo", IF(K169&lt;=25, "Médio", "Alto"))</f>
        <v>Médio</v>
      </c>
      <c r="M169" s="25" t="str">
        <f>IF(AND(L169="Alto", J169="Sim"), "Negada", "Passa")</f>
        <v>Passa</v>
      </c>
      <c r="N169" s="25" t="str">
        <f>IF(AND(I169&gt;50000, J169="Sim"), "Negada", "Passa")</f>
        <v>Passa</v>
      </c>
      <c r="O169" s="39">
        <v>82000</v>
      </c>
      <c r="P169" s="43">
        <f t="shared" si="2"/>
        <v>0</v>
      </c>
    </row>
    <row r="170" spans="1:16">
      <c r="A170" s="10" t="s">
        <v>17</v>
      </c>
      <c r="B170" s="11" t="s">
        <v>541</v>
      </c>
      <c r="C170" s="11" t="s">
        <v>542</v>
      </c>
      <c r="D170" s="12">
        <v>66</v>
      </c>
      <c r="E170" s="13" t="s">
        <v>127</v>
      </c>
      <c r="F170" s="11" t="s">
        <v>131</v>
      </c>
      <c r="G170" s="11" t="s">
        <v>56</v>
      </c>
      <c r="H170" s="35">
        <v>28800</v>
      </c>
      <c r="I170" s="35"/>
      <c r="J170" s="11" t="s">
        <v>35</v>
      </c>
      <c r="K170" s="14"/>
      <c r="L170" s="11" t="str">
        <f>IF(K170&lt;=10, "Baixo", IF(K170&lt;=25, "Médio", "Alto"))</f>
        <v>Baixo</v>
      </c>
      <c r="M170" s="25" t="str">
        <f>IF(AND(L170="Alto", J170="Sim"), "Negada", "Passa")</f>
        <v>Passa</v>
      </c>
      <c r="N170" s="25" t="str">
        <f>IF(AND(I170&gt;50000, J170="Sim"), "Negada", "Passa")</f>
        <v>Passa</v>
      </c>
      <c r="O170" s="39"/>
      <c r="P170" s="43">
        <f t="shared" si="2"/>
        <v>0</v>
      </c>
    </row>
    <row r="171" spans="1:16">
      <c r="A171" s="10" t="s">
        <v>17</v>
      </c>
      <c r="B171" s="11" t="s">
        <v>543</v>
      </c>
      <c r="C171" s="11" t="s">
        <v>544</v>
      </c>
      <c r="D171" s="12">
        <v>49</v>
      </c>
      <c r="E171" s="13" t="s">
        <v>545</v>
      </c>
      <c r="F171" s="11" t="s">
        <v>82</v>
      </c>
      <c r="G171" s="11" t="s">
        <v>22</v>
      </c>
      <c r="H171" s="35">
        <v>11500</v>
      </c>
      <c r="I171" s="35">
        <v>29500</v>
      </c>
      <c r="J171" s="11" t="s">
        <v>29</v>
      </c>
      <c r="K171" s="14">
        <v>13</v>
      </c>
      <c r="L171" s="11" t="str">
        <f>IF(K171&lt;=10, "Baixo", IF(K171&lt;=25, "Médio", "Alto"))</f>
        <v>Médio</v>
      </c>
      <c r="M171" s="25" t="str">
        <f>IF(AND(L171="Alto", J171="Sim"), "Negada", "Passa")</f>
        <v>Passa</v>
      </c>
      <c r="N171" s="25" t="str">
        <f>IF(AND(I171&gt;50000, J171="Sim"), "Negada", "Passa")</f>
        <v>Passa</v>
      </c>
      <c r="O171" s="39">
        <v>5000</v>
      </c>
      <c r="P171" s="43">
        <f t="shared" si="2"/>
        <v>5400</v>
      </c>
    </row>
    <row r="172" spans="1:16">
      <c r="A172" s="10" t="s">
        <v>17</v>
      </c>
      <c r="B172" s="11" t="s">
        <v>546</v>
      </c>
      <c r="C172" s="11" t="s">
        <v>547</v>
      </c>
      <c r="D172" s="12">
        <v>48</v>
      </c>
      <c r="E172" s="13" t="s">
        <v>548</v>
      </c>
      <c r="F172" s="11" t="s">
        <v>115</v>
      </c>
      <c r="G172" s="11" t="s">
        <v>116</v>
      </c>
      <c r="H172" s="35">
        <v>13200</v>
      </c>
      <c r="I172" s="35">
        <v>23500</v>
      </c>
      <c r="J172" s="11" t="s">
        <v>23</v>
      </c>
      <c r="K172" s="14">
        <v>43</v>
      </c>
      <c r="L172" s="11" t="str">
        <f>IF(K172&lt;=10, "Baixo", IF(K172&lt;=25, "Médio", "Alto"))</f>
        <v>Alto</v>
      </c>
      <c r="M172" s="25" t="str">
        <f>IF(AND(L172="Alto", J172="Sim"), "Negada", "Passa")</f>
        <v>Passa</v>
      </c>
      <c r="N172" s="25" t="str">
        <f>IF(AND(I172&gt;50000, J172="Sim"), "Negada", "Passa")</f>
        <v>Passa</v>
      </c>
      <c r="O172" s="39">
        <v>57000</v>
      </c>
      <c r="P172" s="43">
        <f t="shared" si="2"/>
        <v>61560.000000000007</v>
      </c>
    </row>
    <row r="173" spans="1:16">
      <c r="A173" s="10" t="s">
        <v>17</v>
      </c>
      <c r="B173" s="11" t="s">
        <v>549</v>
      </c>
      <c r="C173" s="11" t="s">
        <v>550</v>
      </c>
      <c r="D173" s="12">
        <v>45</v>
      </c>
      <c r="E173" s="13" t="s">
        <v>551</v>
      </c>
      <c r="F173" s="11" t="s">
        <v>115</v>
      </c>
      <c r="G173" s="11" t="s">
        <v>116</v>
      </c>
      <c r="H173" s="35">
        <v>22800</v>
      </c>
      <c r="I173" s="35"/>
      <c r="J173" s="11" t="s">
        <v>23</v>
      </c>
      <c r="K173" s="14">
        <v>25</v>
      </c>
      <c r="L173" s="11" t="str">
        <f>IF(K173&lt;=10, "Baixo", IF(K173&lt;=25, "Médio", "Alto"))</f>
        <v>Médio</v>
      </c>
      <c r="M173" s="25" t="str">
        <f>IF(AND(L173="Alto", J173="Sim"), "Negada", "Passa")</f>
        <v>Passa</v>
      </c>
      <c r="N173" s="25" t="str">
        <f>IF(AND(I173&gt;50000, J173="Sim"), "Negada", "Passa")</f>
        <v>Passa</v>
      </c>
      <c r="O173" s="39">
        <v>65500</v>
      </c>
      <c r="P173" s="43">
        <f t="shared" si="2"/>
        <v>70740</v>
      </c>
    </row>
    <row r="174" spans="1:16">
      <c r="A174" s="10" t="s">
        <v>17</v>
      </c>
      <c r="B174" s="11" t="s">
        <v>552</v>
      </c>
      <c r="C174" s="11" t="s">
        <v>553</v>
      </c>
      <c r="D174" s="12">
        <v>46</v>
      </c>
      <c r="E174" s="13" t="s">
        <v>35</v>
      </c>
      <c r="F174" s="11" t="s">
        <v>55</v>
      </c>
      <c r="G174" s="11" t="s">
        <v>56</v>
      </c>
      <c r="H174" s="35">
        <v>21300</v>
      </c>
      <c r="I174" s="35"/>
      <c r="J174" s="11" t="s">
        <v>23</v>
      </c>
      <c r="K174" s="14">
        <v>25</v>
      </c>
      <c r="L174" s="11" t="str">
        <f>IF(K174&lt;=10, "Baixo", IF(K174&lt;=25, "Médio", "Alto"))</f>
        <v>Médio</v>
      </c>
      <c r="M174" s="25" t="str">
        <f>IF(AND(L174="Alto", J174="Sim"), "Negada", "Passa")</f>
        <v>Passa</v>
      </c>
      <c r="N174" s="25" t="str">
        <f>IF(AND(I174&gt;50000, J174="Sim"), "Negada", "Passa")</f>
        <v>Passa</v>
      </c>
      <c r="O174" s="39">
        <v>50000</v>
      </c>
      <c r="P174" s="43">
        <f t="shared" si="2"/>
        <v>54000</v>
      </c>
    </row>
    <row r="175" spans="1:16">
      <c r="A175" s="10" t="s">
        <v>17</v>
      </c>
      <c r="B175" s="11" t="s">
        <v>554</v>
      </c>
      <c r="C175" s="11" t="s">
        <v>555</v>
      </c>
      <c r="D175" s="12">
        <v>40</v>
      </c>
      <c r="E175" s="13" t="s">
        <v>556</v>
      </c>
      <c r="F175" s="11" t="s">
        <v>82</v>
      </c>
      <c r="G175" s="11" t="s">
        <v>22</v>
      </c>
      <c r="H175" s="35">
        <v>17400</v>
      </c>
      <c r="I175" s="35">
        <v>13500</v>
      </c>
      <c r="J175" s="11" t="s">
        <v>23</v>
      </c>
      <c r="K175" s="14">
        <v>33</v>
      </c>
      <c r="L175" s="11" t="str">
        <f>IF(K175&lt;=10, "Baixo", IF(K175&lt;=25, "Médio", "Alto"))</f>
        <v>Alto</v>
      </c>
      <c r="M175" s="25" t="str">
        <f>IF(AND(L175="Alto", J175="Sim"), "Negada", "Passa")</f>
        <v>Passa</v>
      </c>
      <c r="N175" s="25" t="str">
        <f>IF(AND(I175&gt;50000, J175="Sim"), "Negada", "Passa")</f>
        <v>Passa</v>
      </c>
      <c r="O175" s="39">
        <v>14500</v>
      </c>
      <c r="P175" s="43">
        <f t="shared" si="2"/>
        <v>15660.000000000002</v>
      </c>
    </row>
    <row r="176" spans="1:16">
      <c r="A176" s="10" t="s">
        <v>17</v>
      </c>
      <c r="B176" s="11" t="s">
        <v>557</v>
      </c>
      <c r="C176" s="11" t="s">
        <v>558</v>
      </c>
      <c r="D176" s="12">
        <v>43</v>
      </c>
      <c r="E176" s="13" t="s">
        <v>559</v>
      </c>
      <c r="F176" s="11" t="s">
        <v>135</v>
      </c>
      <c r="G176" s="11" t="s">
        <v>93</v>
      </c>
      <c r="H176" s="35">
        <v>14600</v>
      </c>
      <c r="I176" s="35">
        <v>19000</v>
      </c>
      <c r="J176" s="11" t="s">
        <v>35</v>
      </c>
      <c r="K176" s="14"/>
      <c r="L176" s="11" t="str">
        <f>IF(K176&lt;=10, "Baixo", IF(K176&lt;=25, "Médio", "Alto"))</f>
        <v>Baixo</v>
      </c>
      <c r="M176" s="25" t="str">
        <f>IF(AND(L176="Alto", J176="Sim"), "Negada", "Passa")</f>
        <v>Passa</v>
      </c>
      <c r="N176" s="25" t="str">
        <f>IF(AND(I176&gt;50000, J176="Sim"), "Negada", "Passa")</f>
        <v>Passa</v>
      </c>
      <c r="O176" s="39"/>
      <c r="P176" s="43">
        <f t="shared" si="2"/>
        <v>0</v>
      </c>
    </row>
    <row r="177" spans="1:16">
      <c r="A177" s="10" t="s">
        <v>39</v>
      </c>
      <c r="B177" s="11" t="s">
        <v>560</v>
      </c>
      <c r="C177" s="11" t="s">
        <v>561</v>
      </c>
      <c r="D177" s="12">
        <v>68</v>
      </c>
      <c r="E177" s="13" t="s">
        <v>562</v>
      </c>
      <c r="F177" s="11" t="s">
        <v>27</v>
      </c>
      <c r="G177" s="11" t="s">
        <v>28</v>
      </c>
      <c r="H177" s="35">
        <v>8200</v>
      </c>
      <c r="I177" s="35">
        <v>41000</v>
      </c>
      <c r="J177" s="11" t="s">
        <v>23</v>
      </c>
      <c r="K177" s="14">
        <v>9</v>
      </c>
      <c r="L177" s="11" t="str">
        <f>IF(K177&lt;=10, "Baixo", IF(K177&lt;=25, "Médio", "Alto"))</f>
        <v>Baixo</v>
      </c>
      <c r="M177" s="25" t="str">
        <f>IF(AND(L177="Alto", J177="Sim"), "Negada", "Passa")</f>
        <v>Passa</v>
      </c>
      <c r="N177" s="25" t="str">
        <f>IF(AND(I177&gt;50000, J177="Sim"), "Negada", "Passa")</f>
        <v>Passa</v>
      </c>
      <c r="O177" s="39">
        <v>32500</v>
      </c>
      <c r="P177" s="43">
        <f t="shared" si="2"/>
        <v>0</v>
      </c>
    </row>
    <row r="178" spans="1:16">
      <c r="A178" s="10" t="s">
        <v>17</v>
      </c>
      <c r="B178" s="11" t="s">
        <v>563</v>
      </c>
      <c r="C178" s="11" t="s">
        <v>564</v>
      </c>
      <c r="D178" s="12">
        <v>51</v>
      </c>
      <c r="E178" s="13" t="s">
        <v>565</v>
      </c>
      <c r="F178" s="11" t="s">
        <v>192</v>
      </c>
      <c r="G178" s="11" t="s">
        <v>193</v>
      </c>
      <c r="H178" s="35">
        <v>7200</v>
      </c>
      <c r="I178" s="35">
        <v>76500</v>
      </c>
      <c r="J178" s="11" t="s">
        <v>23</v>
      </c>
      <c r="K178" s="14">
        <v>39</v>
      </c>
      <c r="L178" s="11" t="str">
        <f>IF(K178&lt;=10, "Baixo", IF(K178&lt;=25, "Médio", "Alto"))</f>
        <v>Alto</v>
      </c>
      <c r="M178" s="25" t="str">
        <f>IF(AND(L178="Alto", J178="Sim"), "Negada", "Passa")</f>
        <v>Passa</v>
      </c>
      <c r="N178" s="25" t="str">
        <f>IF(AND(I178&gt;50000, J178="Sim"), "Negada", "Passa")</f>
        <v>Passa</v>
      </c>
      <c r="O178" s="39">
        <v>32000</v>
      </c>
      <c r="P178" s="43">
        <f t="shared" si="2"/>
        <v>34560</v>
      </c>
    </row>
    <row r="179" spans="1:16">
      <c r="A179" s="10" t="s">
        <v>17</v>
      </c>
      <c r="B179" s="11" t="s">
        <v>566</v>
      </c>
      <c r="C179" s="11" t="s">
        <v>567</v>
      </c>
      <c r="D179" s="12">
        <v>58</v>
      </c>
      <c r="E179" s="13" t="s">
        <v>568</v>
      </c>
      <c r="F179" s="11" t="s">
        <v>206</v>
      </c>
      <c r="G179" s="11" t="s">
        <v>34</v>
      </c>
      <c r="H179" s="35">
        <v>25400</v>
      </c>
      <c r="I179" s="35">
        <v>62000</v>
      </c>
      <c r="J179" s="11" t="s">
        <v>29</v>
      </c>
      <c r="K179" s="14">
        <v>45</v>
      </c>
      <c r="L179" s="11" t="str">
        <f>IF(K179&lt;=10, "Baixo", IF(K179&lt;=25, "Médio", "Alto"))</f>
        <v>Alto</v>
      </c>
      <c r="M179" s="25" t="str">
        <f>IF(AND(L179="Alto", J179="Sim"), "Negada", "Passa")</f>
        <v>Negada</v>
      </c>
      <c r="N179" s="25" t="str">
        <f>IF(AND(I179&gt;50000, J179="Sim"), "Negada", "Passa")</f>
        <v>Negada</v>
      </c>
      <c r="O179" s="39">
        <v>35500</v>
      </c>
      <c r="P179" s="43">
        <f t="shared" si="2"/>
        <v>0</v>
      </c>
    </row>
    <row r="180" spans="1:16">
      <c r="A180" s="10" t="s">
        <v>39</v>
      </c>
      <c r="B180" s="11" t="s">
        <v>569</v>
      </c>
      <c r="C180" s="11" t="s">
        <v>570</v>
      </c>
      <c r="D180" s="12">
        <v>30</v>
      </c>
      <c r="E180" s="13" t="s">
        <v>571</v>
      </c>
      <c r="F180" s="11" t="s">
        <v>27</v>
      </c>
      <c r="G180" s="11" t="s">
        <v>28</v>
      </c>
      <c r="H180" s="35">
        <v>3900</v>
      </c>
      <c r="I180" s="35">
        <v>51000</v>
      </c>
      <c r="J180" s="11" t="s">
        <v>35</v>
      </c>
      <c r="K180" s="14">
        <v>12</v>
      </c>
      <c r="L180" s="11" t="str">
        <f>IF(K180&lt;=10, "Baixo", IF(K180&lt;=25, "Médio", "Alto"))</f>
        <v>Médio</v>
      </c>
      <c r="M180" s="25" t="str">
        <f>IF(AND(L180="Alto", J180="Sim"), "Negada", "Passa")</f>
        <v>Passa</v>
      </c>
      <c r="N180" s="25" t="str">
        <f>IF(AND(I180&gt;50000, J180="Sim"), "Negada", "Passa")</f>
        <v>Passa</v>
      </c>
      <c r="O180" s="39">
        <v>72500</v>
      </c>
      <c r="P180" s="43">
        <f t="shared" si="2"/>
        <v>0</v>
      </c>
    </row>
    <row r="181" spans="1:16">
      <c r="A181" s="10" t="s">
        <v>17</v>
      </c>
      <c r="B181" s="11" t="s">
        <v>572</v>
      </c>
      <c r="C181" s="11" t="s">
        <v>573</v>
      </c>
      <c r="D181" s="12">
        <v>68</v>
      </c>
      <c r="E181" s="13" t="s">
        <v>232</v>
      </c>
      <c r="F181" s="11" t="s">
        <v>131</v>
      </c>
      <c r="G181" s="11" t="s">
        <v>56</v>
      </c>
      <c r="H181" s="35">
        <v>29000</v>
      </c>
      <c r="I181" s="35"/>
      <c r="J181" s="11" t="s">
        <v>35</v>
      </c>
      <c r="K181" s="14"/>
      <c r="L181" s="11" t="str">
        <f>IF(K181&lt;=10, "Baixo", IF(K181&lt;=25, "Médio", "Alto"))</f>
        <v>Baixo</v>
      </c>
      <c r="M181" s="25" t="str">
        <f>IF(AND(L181="Alto", J181="Sim"), "Negada", "Passa")</f>
        <v>Passa</v>
      </c>
      <c r="N181" s="25" t="str">
        <f>IF(AND(I181&gt;50000, J181="Sim"), "Negada", "Passa")</f>
        <v>Passa</v>
      </c>
      <c r="O181" s="39"/>
      <c r="P181" s="43">
        <f t="shared" si="2"/>
        <v>0</v>
      </c>
    </row>
    <row r="182" spans="1:16">
      <c r="A182" s="10" t="s">
        <v>17</v>
      </c>
      <c r="B182" s="11" t="s">
        <v>574</v>
      </c>
      <c r="C182" s="11" t="s">
        <v>575</v>
      </c>
      <c r="D182" s="12">
        <v>49</v>
      </c>
      <c r="E182" s="13" t="s">
        <v>576</v>
      </c>
      <c r="F182" s="11" t="s">
        <v>60</v>
      </c>
      <c r="G182" s="11" t="s">
        <v>61</v>
      </c>
      <c r="H182" s="35">
        <v>29800</v>
      </c>
      <c r="I182" s="35"/>
      <c r="J182" s="11" t="s">
        <v>35</v>
      </c>
      <c r="K182" s="14"/>
      <c r="L182" s="11" t="str">
        <f>IF(K182&lt;=10, "Baixo", IF(K182&lt;=25, "Médio", "Alto"))</f>
        <v>Baixo</v>
      </c>
      <c r="M182" s="25" t="str">
        <f>IF(AND(L182="Alto", J182="Sim"), "Negada", "Passa")</f>
        <v>Passa</v>
      </c>
      <c r="N182" s="25" t="str">
        <f>IF(AND(I182&gt;50000, J182="Sim"), "Negada", "Passa")</f>
        <v>Passa</v>
      </c>
      <c r="O182" s="39"/>
      <c r="P182" s="43">
        <f t="shared" si="2"/>
        <v>0</v>
      </c>
    </row>
    <row r="183" spans="1:16">
      <c r="A183" s="10" t="s">
        <v>17</v>
      </c>
      <c r="B183" s="11" t="s">
        <v>577</v>
      </c>
      <c r="C183" s="11" t="s">
        <v>578</v>
      </c>
      <c r="D183" s="12">
        <v>38</v>
      </c>
      <c r="E183" s="13" t="s">
        <v>579</v>
      </c>
      <c r="F183" s="11" t="s">
        <v>363</v>
      </c>
      <c r="G183" s="11" t="s">
        <v>28</v>
      </c>
      <c r="H183" s="35">
        <v>2000</v>
      </c>
      <c r="I183" s="35">
        <v>55000</v>
      </c>
      <c r="J183" s="11" t="s">
        <v>23</v>
      </c>
      <c r="K183" s="14">
        <v>26</v>
      </c>
      <c r="L183" s="11" t="str">
        <f>IF(K183&lt;=10, "Baixo", IF(K183&lt;=25, "Médio", "Alto"))</f>
        <v>Alto</v>
      </c>
      <c r="M183" s="25" t="str">
        <f>IF(AND(L183="Alto", J183="Sim"), "Negada", "Passa")</f>
        <v>Passa</v>
      </c>
      <c r="N183" s="25" t="str">
        <f>IF(AND(I183&gt;50000, J183="Sim"), "Negada", "Passa")</f>
        <v>Passa</v>
      </c>
      <c r="O183" s="39">
        <v>100000</v>
      </c>
      <c r="P183" s="43">
        <f t="shared" si="2"/>
        <v>108000</v>
      </c>
    </row>
    <row r="184" spans="1:16">
      <c r="A184" s="10" t="s">
        <v>39</v>
      </c>
      <c r="B184" s="11" t="s">
        <v>580</v>
      </c>
      <c r="C184" s="11" t="s">
        <v>581</v>
      </c>
      <c r="D184" s="12">
        <v>30</v>
      </c>
      <c r="E184" s="13" t="s">
        <v>582</v>
      </c>
      <c r="F184" s="11" t="s">
        <v>82</v>
      </c>
      <c r="G184" s="11" t="s">
        <v>22</v>
      </c>
      <c r="H184" s="35">
        <v>26500</v>
      </c>
      <c r="I184" s="35"/>
      <c r="J184" s="11" t="s">
        <v>23</v>
      </c>
      <c r="K184" s="14">
        <v>16</v>
      </c>
      <c r="L184" s="11" t="str">
        <f>IF(K184&lt;=10, "Baixo", IF(K184&lt;=25, "Médio", "Alto"))</f>
        <v>Médio</v>
      </c>
      <c r="M184" s="25" t="str">
        <f>IF(AND(L184="Alto", J184="Sim"), "Negada", "Passa")</f>
        <v>Passa</v>
      </c>
      <c r="N184" s="25" t="str">
        <f>IF(AND(I184&gt;50000, J184="Sim"), "Negada", "Passa")</f>
        <v>Passa</v>
      </c>
      <c r="O184" s="39">
        <v>41000</v>
      </c>
      <c r="P184" s="43">
        <f t="shared" si="2"/>
        <v>0</v>
      </c>
    </row>
    <row r="185" spans="1:16">
      <c r="A185" s="10" t="s">
        <v>17</v>
      </c>
      <c r="B185" s="11" t="s">
        <v>583</v>
      </c>
      <c r="C185" s="11" t="s">
        <v>584</v>
      </c>
      <c r="D185" s="12">
        <v>68</v>
      </c>
      <c r="E185" s="13" t="s">
        <v>35</v>
      </c>
      <c r="F185" s="11" t="s">
        <v>92</v>
      </c>
      <c r="G185" s="11" t="s">
        <v>93</v>
      </c>
      <c r="H185" s="35">
        <v>19900</v>
      </c>
      <c r="I185" s="35">
        <v>65500</v>
      </c>
      <c r="J185" s="11" t="s">
        <v>35</v>
      </c>
      <c r="K185" s="14"/>
      <c r="L185" s="11" t="str">
        <f>IF(K185&lt;=10, "Baixo", IF(K185&lt;=25, "Médio", "Alto"))</f>
        <v>Baixo</v>
      </c>
      <c r="M185" s="25" t="str">
        <f>IF(AND(L185="Alto", J185="Sim"), "Negada", "Passa")</f>
        <v>Passa</v>
      </c>
      <c r="N185" s="25" t="str">
        <f>IF(AND(I185&gt;50000, J185="Sim"), "Negada", "Passa")</f>
        <v>Passa</v>
      </c>
      <c r="O185" s="39"/>
      <c r="P185" s="43">
        <f t="shared" si="2"/>
        <v>0</v>
      </c>
    </row>
    <row r="186" spans="1:16">
      <c r="A186" s="10" t="s">
        <v>17</v>
      </c>
      <c r="B186" s="11" t="s">
        <v>585</v>
      </c>
      <c r="C186" s="11" t="s">
        <v>586</v>
      </c>
      <c r="D186" s="12">
        <v>27</v>
      </c>
      <c r="E186" s="13" t="s">
        <v>587</v>
      </c>
      <c r="F186" s="11" t="s">
        <v>33</v>
      </c>
      <c r="G186" s="11" t="s">
        <v>34</v>
      </c>
      <c r="H186" s="35">
        <v>5300</v>
      </c>
      <c r="I186" s="35">
        <v>48500</v>
      </c>
      <c r="J186" s="11" t="s">
        <v>23</v>
      </c>
      <c r="K186" s="14">
        <v>29</v>
      </c>
      <c r="L186" s="11" t="str">
        <f>IF(K186&lt;=10, "Baixo", IF(K186&lt;=25, "Médio", "Alto"))</f>
        <v>Alto</v>
      </c>
      <c r="M186" s="25" t="str">
        <f>IF(AND(L186="Alto", J186="Sim"), "Negada", "Passa")</f>
        <v>Passa</v>
      </c>
      <c r="N186" s="25" t="str">
        <f>IF(AND(I186&gt;50000, J186="Sim"), "Negada", "Passa")</f>
        <v>Passa</v>
      </c>
      <c r="O186" s="39">
        <v>94000</v>
      </c>
      <c r="P186" s="43">
        <f t="shared" si="2"/>
        <v>101520</v>
      </c>
    </row>
    <row r="187" spans="1:16">
      <c r="A187" s="10" t="s">
        <v>17</v>
      </c>
      <c r="B187" s="11" t="s">
        <v>588</v>
      </c>
      <c r="C187" s="11" t="s">
        <v>589</v>
      </c>
      <c r="D187" s="12">
        <v>69</v>
      </c>
      <c r="E187" s="13" t="s">
        <v>35</v>
      </c>
      <c r="F187" s="11" t="s">
        <v>82</v>
      </c>
      <c r="G187" s="11" t="s">
        <v>22</v>
      </c>
      <c r="H187" s="35">
        <v>4500</v>
      </c>
      <c r="I187" s="35">
        <v>78000</v>
      </c>
      <c r="J187" s="11" t="s">
        <v>35</v>
      </c>
      <c r="K187" s="14"/>
      <c r="L187" s="11" t="str">
        <f>IF(K187&lt;=10, "Baixo", IF(K187&lt;=25, "Médio", "Alto"))</f>
        <v>Baixo</v>
      </c>
      <c r="M187" s="25" t="str">
        <f>IF(AND(L187="Alto", J187="Sim"), "Negada", "Passa")</f>
        <v>Passa</v>
      </c>
      <c r="N187" s="25" t="str">
        <f>IF(AND(I187&gt;50000, J187="Sim"), "Negada", "Passa")</f>
        <v>Passa</v>
      </c>
      <c r="O187" s="39"/>
      <c r="P187" s="43">
        <f t="shared" si="2"/>
        <v>0</v>
      </c>
    </row>
    <row r="188" spans="1:16">
      <c r="A188" s="10" t="s">
        <v>17</v>
      </c>
      <c r="B188" s="11" t="s">
        <v>590</v>
      </c>
      <c r="C188" s="11" t="s">
        <v>591</v>
      </c>
      <c r="D188" s="12">
        <v>45</v>
      </c>
      <c r="E188" s="13" t="s">
        <v>592</v>
      </c>
      <c r="F188" s="11" t="s">
        <v>233</v>
      </c>
      <c r="G188" s="11" t="s">
        <v>234</v>
      </c>
      <c r="H188" s="35">
        <v>24400</v>
      </c>
      <c r="I188" s="35"/>
      <c r="J188" s="15" t="s">
        <v>23</v>
      </c>
      <c r="K188" s="14">
        <v>13</v>
      </c>
      <c r="L188" s="11" t="str">
        <f>IF(K188&lt;=10, "Baixo", IF(K188&lt;=25, "Médio", "Alto"))</f>
        <v>Médio</v>
      </c>
      <c r="M188" s="25" t="str">
        <f>IF(AND(L188="Alto", J188="Sim"), "Negada", "Passa")</f>
        <v>Passa</v>
      </c>
      <c r="N188" s="25" t="str">
        <f>IF(AND(I188&gt;50000, J188="Sim"), "Negada", "Passa")</f>
        <v>Passa</v>
      </c>
      <c r="O188" s="39">
        <v>71000</v>
      </c>
      <c r="P188" s="43">
        <f t="shared" si="2"/>
        <v>76680</v>
      </c>
    </row>
    <row r="189" spans="1:16">
      <c r="A189" s="10" t="s">
        <v>17</v>
      </c>
      <c r="B189" s="11" t="s">
        <v>593</v>
      </c>
      <c r="C189" s="11" t="s">
        <v>594</v>
      </c>
      <c r="D189" s="12">
        <v>29</v>
      </c>
      <c r="E189" s="13" t="s">
        <v>595</v>
      </c>
      <c r="F189" s="11" t="s">
        <v>71</v>
      </c>
      <c r="G189" s="11" t="s">
        <v>72</v>
      </c>
      <c r="H189" s="35">
        <v>19900</v>
      </c>
      <c r="I189" s="35">
        <v>4500</v>
      </c>
      <c r="J189" s="11" t="s">
        <v>29</v>
      </c>
      <c r="K189" s="14">
        <v>29</v>
      </c>
      <c r="L189" s="11" t="str">
        <f>IF(K189&lt;=10, "Baixo", IF(K189&lt;=25, "Médio", "Alto"))</f>
        <v>Alto</v>
      </c>
      <c r="M189" s="25" t="str">
        <f>IF(AND(L189="Alto", J189="Sim"), "Negada", "Passa")</f>
        <v>Negada</v>
      </c>
      <c r="N189" s="25" t="str">
        <f>IF(AND(I189&gt;50000, J189="Sim"), "Negada", "Passa")</f>
        <v>Passa</v>
      </c>
      <c r="O189" s="39">
        <v>43500</v>
      </c>
      <c r="P189" s="43">
        <f t="shared" si="2"/>
        <v>0</v>
      </c>
    </row>
    <row r="190" spans="1:16">
      <c r="A190" s="10" t="s">
        <v>17</v>
      </c>
      <c r="B190" s="11" t="s">
        <v>596</v>
      </c>
      <c r="C190" s="11" t="s">
        <v>597</v>
      </c>
      <c r="D190" s="12">
        <v>28</v>
      </c>
      <c r="E190" s="13" t="s">
        <v>35</v>
      </c>
      <c r="F190" s="11" t="s">
        <v>82</v>
      </c>
      <c r="G190" s="11" t="s">
        <v>22</v>
      </c>
      <c r="H190" s="35">
        <v>14500</v>
      </c>
      <c r="I190" s="35">
        <v>19500</v>
      </c>
      <c r="J190" s="11" t="s">
        <v>23</v>
      </c>
      <c r="K190" s="14">
        <v>30</v>
      </c>
      <c r="L190" s="11" t="str">
        <f>IF(K190&lt;=10, "Baixo", IF(K190&lt;=25, "Médio", "Alto"))</f>
        <v>Alto</v>
      </c>
      <c r="M190" s="25" t="str">
        <f>IF(AND(L190="Alto", J190="Sim"), "Negada", "Passa")</f>
        <v>Passa</v>
      </c>
      <c r="N190" s="25" t="str">
        <f>IF(AND(I190&gt;50000, J190="Sim"), "Negada", "Passa")</f>
        <v>Passa</v>
      </c>
      <c r="O190" s="39">
        <v>51000</v>
      </c>
      <c r="P190" s="43">
        <f t="shared" si="2"/>
        <v>55080</v>
      </c>
    </row>
    <row r="191" spans="1:16">
      <c r="A191" s="10" t="s">
        <v>39</v>
      </c>
      <c r="B191" s="11" t="s">
        <v>598</v>
      </c>
      <c r="C191" s="11" t="s">
        <v>599</v>
      </c>
      <c r="D191" s="12">
        <v>73</v>
      </c>
      <c r="E191" s="13" t="s">
        <v>35</v>
      </c>
      <c r="F191" s="11" t="s">
        <v>55</v>
      </c>
      <c r="G191" s="11" t="s">
        <v>56</v>
      </c>
      <c r="H191" s="35">
        <v>19900</v>
      </c>
      <c r="I191" s="35">
        <v>4500</v>
      </c>
      <c r="J191" s="11" t="s">
        <v>23</v>
      </c>
      <c r="K191" s="14">
        <v>16</v>
      </c>
      <c r="L191" s="11" t="str">
        <f>IF(K191&lt;=10, "Baixo", IF(K191&lt;=25, "Médio", "Alto"))</f>
        <v>Médio</v>
      </c>
      <c r="M191" s="25" t="str">
        <f>IF(AND(L191="Alto", J191="Sim"), "Negada", "Passa")</f>
        <v>Passa</v>
      </c>
      <c r="N191" s="25" t="str">
        <f>IF(AND(I191&gt;50000, J191="Sim"), "Negada", "Passa")</f>
        <v>Passa</v>
      </c>
      <c r="O191" s="39">
        <v>93500</v>
      </c>
      <c r="P191" s="43">
        <f t="shared" si="2"/>
        <v>0</v>
      </c>
    </row>
    <row r="192" spans="1:16">
      <c r="A192" s="10" t="s">
        <v>17</v>
      </c>
      <c r="B192" s="11" t="s">
        <v>600</v>
      </c>
      <c r="C192" s="11" t="s">
        <v>601</v>
      </c>
      <c r="D192" s="12">
        <v>44</v>
      </c>
      <c r="E192" s="13" t="s">
        <v>602</v>
      </c>
      <c r="F192" s="11" t="s">
        <v>135</v>
      </c>
      <c r="G192" s="11" t="s">
        <v>93</v>
      </c>
      <c r="H192" s="35">
        <v>6700</v>
      </c>
      <c r="I192" s="35">
        <v>44500</v>
      </c>
      <c r="J192" s="11" t="s">
        <v>29</v>
      </c>
      <c r="K192" s="14">
        <v>32</v>
      </c>
      <c r="L192" s="11" t="str">
        <f>IF(K192&lt;=10, "Baixo", IF(K192&lt;=25, "Médio", "Alto"))</f>
        <v>Alto</v>
      </c>
      <c r="M192" s="25" t="str">
        <f>IF(AND(L192="Alto", J192="Sim"), "Negada", "Passa")</f>
        <v>Negada</v>
      </c>
      <c r="N192" s="25" t="str">
        <f>IF(AND(I192&gt;50000, J192="Sim"), "Negada", "Passa")</f>
        <v>Passa</v>
      </c>
      <c r="O192" s="39">
        <v>2000</v>
      </c>
      <c r="P192" s="43">
        <f t="shared" si="2"/>
        <v>0</v>
      </c>
    </row>
    <row r="193" spans="1:16">
      <c r="A193" s="10" t="s">
        <v>17</v>
      </c>
      <c r="B193" s="11" t="s">
        <v>603</v>
      </c>
      <c r="C193" s="11" t="s">
        <v>604</v>
      </c>
      <c r="D193" s="12">
        <v>25</v>
      </c>
      <c r="E193" s="13" t="s">
        <v>605</v>
      </c>
      <c r="F193" s="11" t="s">
        <v>46</v>
      </c>
      <c r="G193" s="11" t="s">
        <v>46</v>
      </c>
      <c r="H193" s="35">
        <v>2500</v>
      </c>
      <c r="I193" s="35">
        <v>55000</v>
      </c>
      <c r="J193" s="11" t="s">
        <v>23</v>
      </c>
      <c r="K193" s="14">
        <v>9</v>
      </c>
      <c r="L193" s="11" t="str">
        <f>IF(K193&lt;=10, "Baixo", IF(K193&lt;=25, "Médio", "Alto"))</f>
        <v>Baixo</v>
      </c>
      <c r="M193" s="25" t="str">
        <f>IF(AND(L193="Alto", J193="Sim"), "Negada", "Passa")</f>
        <v>Passa</v>
      </c>
      <c r="N193" s="25" t="str">
        <f>IF(AND(I193&gt;50000, J193="Sim"), "Negada", "Passa")</f>
        <v>Passa</v>
      </c>
      <c r="O193" s="39">
        <v>17000</v>
      </c>
      <c r="P193" s="43">
        <f t="shared" si="2"/>
        <v>18360</v>
      </c>
    </row>
    <row r="194" spans="1:16">
      <c r="A194" s="10" t="s">
        <v>39</v>
      </c>
      <c r="B194" s="11" t="s">
        <v>606</v>
      </c>
      <c r="C194" s="11" t="s">
        <v>607</v>
      </c>
      <c r="D194" s="12">
        <v>31</v>
      </c>
      <c r="E194" s="13" t="s">
        <v>608</v>
      </c>
      <c r="F194" s="11" t="s">
        <v>128</v>
      </c>
      <c r="G194" s="11" t="s">
        <v>28</v>
      </c>
      <c r="H194" s="35">
        <v>22600</v>
      </c>
      <c r="I194" s="35"/>
      <c r="J194" s="11" t="s">
        <v>23</v>
      </c>
      <c r="K194" s="14">
        <v>27</v>
      </c>
      <c r="L194" s="11" t="str">
        <f>IF(K194&lt;=10, "Baixo", IF(K194&lt;=25, "Médio", "Alto"))</f>
        <v>Alto</v>
      </c>
      <c r="M194" s="25" t="str">
        <f>IF(AND(L194="Alto", J194="Sim"), "Negada", "Passa")</f>
        <v>Passa</v>
      </c>
      <c r="N194" s="25" t="str">
        <f>IF(AND(I194&gt;50000, J194="Sim"), "Negada", "Passa")</f>
        <v>Passa</v>
      </c>
      <c r="O194" s="39">
        <v>38500</v>
      </c>
      <c r="P194" s="43">
        <f t="shared" si="2"/>
        <v>0</v>
      </c>
    </row>
    <row r="195" spans="1:16">
      <c r="A195" s="10" t="s">
        <v>17</v>
      </c>
      <c r="B195" s="11" t="s">
        <v>609</v>
      </c>
      <c r="C195" s="11" t="s">
        <v>610</v>
      </c>
      <c r="D195" s="12">
        <v>36</v>
      </c>
      <c r="E195" s="13" t="s">
        <v>611</v>
      </c>
      <c r="F195" s="11" t="s">
        <v>27</v>
      </c>
      <c r="G195" s="11" t="s">
        <v>28</v>
      </c>
      <c r="H195" s="35">
        <v>23900</v>
      </c>
      <c r="I195" s="35"/>
      <c r="J195" s="11" t="s">
        <v>29</v>
      </c>
      <c r="K195" s="14">
        <v>30</v>
      </c>
      <c r="L195" s="11" t="str">
        <f>IF(K195&lt;=10, "Baixo", IF(K195&lt;=25, "Médio", "Alto"))</f>
        <v>Alto</v>
      </c>
      <c r="M195" s="25" t="str">
        <f>IF(AND(L195="Alto", J195="Sim"), "Negada", "Passa")</f>
        <v>Negada</v>
      </c>
      <c r="N195" s="25" t="str">
        <f>IF(AND(I195&gt;50000, J195="Sim"), "Negada", "Passa")</f>
        <v>Passa</v>
      </c>
      <c r="O195" s="39">
        <v>11000</v>
      </c>
      <c r="P195" s="43">
        <f t="shared" ref="P195:P258" si="3">IF(OR(M195="Negada", N195="Negada"), 0, IF(A195="Ativo", O195*1.08, 0))</f>
        <v>0</v>
      </c>
    </row>
    <row r="196" spans="1:16">
      <c r="A196" s="10" t="s">
        <v>39</v>
      </c>
      <c r="B196" s="11" t="s">
        <v>612</v>
      </c>
      <c r="C196" s="11" t="s">
        <v>613</v>
      </c>
      <c r="D196" s="12">
        <v>50</v>
      </c>
      <c r="E196" s="13" t="s">
        <v>614</v>
      </c>
      <c r="F196" s="11" t="s">
        <v>33</v>
      </c>
      <c r="G196" s="11" t="s">
        <v>34</v>
      </c>
      <c r="H196" s="35">
        <v>16200</v>
      </c>
      <c r="I196" s="35">
        <v>16000</v>
      </c>
      <c r="J196" s="11" t="s">
        <v>23</v>
      </c>
      <c r="K196" s="14">
        <v>9</v>
      </c>
      <c r="L196" s="11" t="str">
        <f>IF(K196&lt;=10, "Baixo", IF(K196&lt;=25, "Médio", "Alto"))</f>
        <v>Baixo</v>
      </c>
      <c r="M196" s="25" t="str">
        <f>IF(AND(L196="Alto", J196="Sim"), "Negada", "Passa")</f>
        <v>Passa</v>
      </c>
      <c r="N196" s="25" t="str">
        <f>IF(AND(I196&gt;50000, J196="Sim"), "Negada", "Passa")</f>
        <v>Passa</v>
      </c>
      <c r="O196" s="39">
        <v>24500</v>
      </c>
      <c r="P196" s="43">
        <f t="shared" si="3"/>
        <v>0</v>
      </c>
    </row>
    <row r="197" spans="1:16">
      <c r="A197" s="10" t="s">
        <v>17</v>
      </c>
      <c r="B197" s="11" t="s">
        <v>615</v>
      </c>
      <c r="C197" s="11" t="s">
        <v>616</v>
      </c>
      <c r="D197" s="12">
        <v>63</v>
      </c>
      <c r="E197" s="13" t="s">
        <v>617</v>
      </c>
      <c r="F197" s="11" t="s">
        <v>319</v>
      </c>
      <c r="G197" s="11" t="s">
        <v>56</v>
      </c>
      <c r="H197" s="35">
        <v>16800</v>
      </c>
      <c r="I197" s="35">
        <v>15000</v>
      </c>
      <c r="J197" s="11" t="s">
        <v>23</v>
      </c>
      <c r="K197" s="14">
        <v>42</v>
      </c>
      <c r="L197" s="11" t="str">
        <f>IF(K197&lt;=10, "Baixo", IF(K197&lt;=25, "Médio", "Alto"))</f>
        <v>Alto</v>
      </c>
      <c r="M197" s="25" t="str">
        <f>IF(AND(L197="Alto", J197="Sim"), "Negada", "Passa")</f>
        <v>Passa</v>
      </c>
      <c r="N197" s="25" t="str">
        <f>IF(AND(I197&gt;50000, J197="Sim"), "Negada", "Passa")</f>
        <v>Passa</v>
      </c>
      <c r="O197" s="39">
        <v>81500</v>
      </c>
      <c r="P197" s="43">
        <f t="shared" si="3"/>
        <v>88020</v>
      </c>
    </row>
    <row r="198" spans="1:16">
      <c r="A198" s="10" t="s">
        <v>17</v>
      </c>
      <c r="B198" s="11" t="s">
        <v>618</v>
      </c>
      <c r="C198" s="11" t="s">
        <v>619</v>
      </c>
      <c r="D198" s="12">
        <v>22</v>
      </c>
      <c r="E198" s="13" t="s">
        <v>620</v>
      </c>
      <c r="F198" s="11" t="s">
        <v>233</v>
      </c>
      <c r="G198" s="11" t="s">
        <v>234</v>
      </c>
      <c r="H198" s="35">
        <v>9200</v>
      </c>
      <c r="I198" s="35">
        <v>39500</v>
      </c>
      <c r="J198" s="11" t="s">
        <v>35</v>
      </c>
      <c r="K198" s="14"/>
      <c r="L198" s="11" t="str">
        <f>IF(K198&lt;=10, "Baixo", IF(K198&lt;=25, "Médio", "Alto"))</f>
        <v>Baixo</v>
      </c>
      <c r="M198" s="25" t="str">
        <f>IF(AND(L198="Alto", J198="Sim"), "Negada", "Passa")</f>
        <v>Passa</v>
      </c>
      <c r="N198" s="25" t="str">
        <f>IF(AND(I198&gt;50000, J198="Sim"), "Negada", "Passa")</f>
        <v>Passa</v>
      </c>
      <c r="O198" s="39"/>
      <c r="P198" s="43">
        <f t="shared" si="3"/>
        <v>0</v>
      </c>
    </row>
    <row r="199" spans="1:16">
      <c r="A199" s="10" t="s">
        <v>17</v>
      </c>
      <c r="B199" s="15" t="s">
        <v>621</v>
      </c>
      <c r="C199" s="11" t="s">
        <v>622</v>
      </c>
      <c r="D199" s="12">
        <v>26</v>
      </c>
      <c r="E199" s="13" t="s">
        <v>623</v>
      </c>
      <c r="F199" s="11" t="s">
        <v>363</v>
      </c>
      <c r="G199" s="11" t="s">
        <v>28</v>
      </c>
      <c r="H199" s="35">
        <v>18400</v>
      </c>
      <c r="I199" s="35">
        <f>7.5*1000</f>
        <v>7500</v>
      </c>
      <c r="J199" s="11" t="s">
        <v>35</v>
      </c>
      <c r="K199" s="14"/>
      <c r="L199" s="11" t="str">
        <f>IF(K199&lt;=10, "Baixo", IF(K199&lt;=25, "Médio", "Alto"))</f>
        <v>Baixo</v>
      </c>
      <c r="M199" s="25" t="str">
        <f>IF(AND(L199="Alto", J199="Sim"), "Negada", "Passa")</f>
        <v>Passa</v>
      </c>
      <c r="N199" s="25" t="str">
        <f>IF(AND(I199&gt;50000, J199="Sim"), "Negada", "Passa")</f>
        <v>Passa</v>
      </c>
      <c r="O199" s="39"/>
      <c r="P199" s="43">
        <f t="shared" si="3"/>
        <v>0</v>
      </c>
    </row>
    <row r="200" spans="1:16">
      <c r="A200" s="10" t="s">
        <v>17</v>
      </c>
      <c r="B200" s="11" t="s">
        <v>624</v>
      </c>
      <c r="C200" s="11" t="s">
        <v>625</v>
      </c>
      <c r="D200" s="12">
        <v>34</v>
      </c>
      <c r="E200" s="13" t="s">
        <v>626</v>
      </c>
      <c r="F200" s="11" t="s">
        <v>60</v>
      </c>
      <c r="G200" s="11" t="s">
        <v>61</v>
      </c>
      <c r="H200" s="35">
        <v>8000</v>
      </c>
      <c r="I200" s="35">
        <v>41500</v>
      </c>
      <c r="J200" s="11" t="s">
        <v>23</v>
      </c>
      <c r="K200" s="14">
        <v>34</v>
      </c>
      <c r="L200" s="11" t="str">
        <f>IF(K200&lt;=10, "Baixo", IF(K200&lt;=25, "Médio", "Alto"))</f>
        <v>Alto</v>
      </c>
      <c r="M200" s="25" t="str">
        <f>IF(AND(L200="Alto", J200="Sim"), "Negada", "Passa")</f>
        <v>Passa</v>
      </c>
      <c r="N200" s="25" t="str">
        <f>IF(AND(I200&gt;50000, J200="Sim"), "Negada", "Passa")</f>
        <v>Passa</v>
      </c>
      <c r="O200" s="39">
        <v>66000</v>
      </c>
      <c r="P200" s="43">
        <f t="shared" si="3"/>
        <v>71280</v>
      </c>
    </row>
    <row r="201" spans="1:16">
      <c r="A201" s="10" t="s">
        <v>39</v>
      </c>
      <c r="B201" s="11" t="s">
        <v>627</v>
      </c>
      <c r="C201" s="11" t="s">
        <v>628</v>
      </c>
      <c r="D201" s="12">
        <v>31</v>
      </c>
      <c r="E201" s="13" t="s">
        <v>629</v>
      </c>
      <c r="F201" s="11" t="s">
        <v>50</v>
      </c>
      <c r="G201" s="11" t="s">
        <v>51</v>
      </c>
      <c r="H201" s="35">
        <v>29500</v>
      </c>
      <c r="I201" s="35">
        <v>58000</v>
      </c>
      <c r="J201" s="11" t="s">
        <v>23</v>
      </c>
      <c r="K201" s="14">
        <v>27</v>
      </c>
      <c r="L201" s="11" t="str">
        <f>IF(K201&lt;=10, "Baixo", IF(K201&lt;=25, "Médio", "Alto"))</f>
        <v>Alto</v>
      </c>
      <c r="M201" s="25" t="str">
        <f>IF(AND(L201="Alto", J201="Sim"), "Negada", "Passa")</f>
        <v>Passa</v>
      </c>
      <c r="N201" s="25" t="str">
        <f>IF(AND(I201&gt;50000, J201="Sim"), "Negada", "Passa")</f>
        <v>Passa</v>
      </c>
      <c r="O201" s="39">
        <v>38000</v>
      </c>
      <c r="P201" s="43">
        <f t="shared" si="3"/>
        <v>0</v>
      </c>
    </row>
    <row r="202" spans="1:16">
      <c r="A202" s="10" t="s">
        <v>17</v>
      </c>
      <c r="B202" s="11" t="s">
        <v>630</v>
      </c>
      <c r="C202" s="11" t="s">
        <v>631</v>
      </c>
      <c r="D202" s="12">
        <v>58</v>
      </c>
      <c r="E202" s="13" t="s">
        <v>632</v>
      </c>
      <c r="F202" s="15" t="s">
        <v>71</v>
      </c>
      <c r="G202" s="11" t="s">
        <v>72</v>
      </c>
      <c r="H202" s="35">
        <v>22200</v>
      </c>
      <c r="I202" s="35"/>
      <c r="J202" s="11" t="s">
        <v>23</v>
      </c>
      <c r="K202" s="14">
        <v>4</v>
      </c>
      <c r="L202" s="11" t="str">
        <f>IF(K202&lt;=10, "Baixo", IF(K202&lt;=25, "Médio", "Alto"))</f>
        <v>Baixo</v>
      </c>
      <c r="M202" s="25" t="str">
        <f>IF(AND(L202="Alto", J202="Sim"), "Negada", "Passa")</f>
        <v>Passa</v>
      </c>
      <c r="N202" s="25" t="str">
        <f>IF(AND(I202&gt;50000, J202="Sim"), "Negada", "Passa")</f>
        <v>Passa</v>
      </c>
      <c r="O202" s="39">
        <v>80000</v>
      </c>
      <c r="P202" s="43">
        <f t="shared" si="3"/>
        <v>86400</v>
      </c>
    </row>
    <row r="203" spans="1:16">
      <c r="A203" s="10" t="s">
        <v>35</v>
      </c>
      <c r="B203" s="11" t="s">
        <v>633</v>
      </c>
      <c r="C203" s="11" t="s">
        <v>634</v>
      </c>
      <c r="D203" s="12">
        <v>63</v>
      </c>
      <c r="E203" s="13" t="s">
        <v>635</v>
      </c>
      <c r="F203" s="11" t="s">
        <v>46</v>
      </c>
      <c r="G203" s="11" t="s">
        <v>46</v>
      </c>
      <c r="H203" s="35">
        <v>14700</v>
      </c>
      <c r="I203" s="35">
        <v>69500</v>
      </c>
      <c r="J203" s="11" t="s">
        <v>23</v>
      </c>
      <c r="K203" s="14">
        <v>31</v>
      </c>
      <c r="L203" s="11" t="str">
        <f>IF(K203&lt;=10, "Baixo", IF(K203&lt;=25, "Médio", "Alto"))</f>
        <v>Alto</v>
      </c>
      <c r="M203" s="25" t="str">
        <f>IF(AND(L203="Alto", J203="Sim"), "Negada", "Passa")</f>
        <v>Passa</v>
      </c>
      <c r="N203" s="25" t="str">
        <f>IF(AND(I203&gt;50000, J203="Sim"), "Negada", "Passa")</f>
        <v>Passa</v>
      </c>
      <c r="O203" s="39">
        <v>18000</v>
      </c>
      <c r="P203" s="43">
        <f t="shared" si="3"/>
        <v>0</v>
      </c>
    </row>
    <row r="204" spans="1:16">
      <c r="A204" s="10" t="s">
        <v>17</v>
      </c>
      <c r="B204" s="11" t="s">
        <v>636</v>
      </c>
      <c r="C204" s="11" t="s">
        <v>637</v>
      </c>
      <c r="D204" s="12">
        <v>53</v>
      </c>
      <c r="E204" s="13" t="s">
        <v>638</v>
      </c>
      <c r="F204" s="11" t="s">
        <v>131</v>
      </c>
      <c r="G204" s="11" t="s">
        <v>56</v>
      </c>
      <c r="H204" s="35">
        <v>12200</v>
      </c>
      <c r="I204" s="35">
        <v>26500</v>
      </c>
      <c r="J204" s="11" t="s">
        <v>35</v>
      </c>
      <c r="K204" s="14"/>
      <c r="L204" s="11" t="str">
        <f>IF(K204&lt;=10, "Baixo", IF(K204&lt;=25, "Médio", "Alto"))</f>
        <v>Baixo</v>
      </c>
      <c r="M204" s="25" t="str">
        <f>IF(AND(L204="Alto", J204="Sim"), "Negada", "Passa")</f>
        <v>Passa</v>
      </c>
      <c r="N204" s="25" t="str">
        <f>IF(AND(I204&gt;50000, J204="Sim"), "Negada", "Passa")</f>
        <v>Passa</v>
      </c>
      <c r="O204" s="39"/>
      <c r="P204" s="43">
        <f t="shared" si="3"/>
        <v>0</v>
      </c>
    </row>
    <row r="205" spans="1:16">
      <c r="A205" s="10" t="s">
        <v>17</v>
      </c>
      <c r="B205" s="11" t="s">
        <v>639</v>
      </c>
      <c r="C205" s="11" t="s">
        <v>640</v>
      </c>
      <c r="D205" s="12"/>
      <c r="E205" s="13" t="s">
        <v>641</v>
      </c>
      <c r="F205" s="11" t="s">
        <v>60</v>
      </c>
      <c r="G205" s="11" t="s">
        <v>61</v>
      </c>
      <c r="H205" s="35">
        <v>25000</v>
      </c>
      <c r="I205" s="35"/>
      <c r="J205" s="11" t="s">
        <v>23</v>
      </c>
      <c r="K205" s="14">
        <v>12</v>
      </c>
      <c r="L205" s="11" t="str">
        <f>IF(K205&lt;=10, "Baixo", IF(K205&lt;=25, "Médio", "Alto"))</f>
        <v>Médio</v>
      </c>
      <c r="M205" s="25" t="str">
        <f>IF(AND(L205="Alto", J205="Sim"), "Negada", "Passa")</f>
        <v>Passa</v>
      </c>
      <c r="N205" s="25" t="str">
        <f>IF(AND(I205&gt;50000, J205="Sim"), "Negada", "Passa")</f>
        <v>Passa</v>
      </c>
      <c r="O205" s="39">
        <v>69500</v>
      </c>
      <c r="P205" s="43">
        <f t="shared" si="3"/>
        <v>75060</v>
      </c>
    </row>
    <row r="206" spans="1:16">
      <c r="A206" s="10" t="s">
        <v>17</v>
      </c>
      <c r="B206" s="11" t="s">
        <v>642</v>
      </c>
      <c r="C206" s="11" t="s">
        <v>643</v>
      </c>
      <c r="D206" s="12">
        <v>69</v>
      </c>
      <c r="E206" s="13" t="s">
        <v>644</v>
      </c>
      <c r="F206" s="11" t="s">
        <v>233</v>
      </c>
      <c r="G206" s="11" t="s">
        <v>234</v>
      </c>
      <c r="H206" s="35">
        <v>25100</v>
      </c>
      <c r="I206" s="35"/>
      <c r="J206" s="11" t="s">
        <v>23</v>
      </c>
      <c r="K206" s="14">
        <v>12</v>
      </c>
      <c r="L206" s="11" t="str">
        <f>IF(K206&lt;=10, "Baixo", IF(K206&lt;=25, "Médio", "Alto"))</f>
        <v>Médio</v>
      </c>
      <c r="M206" s="25" t="str">
        <f>IF(AND(L206="Alto", J206="Sim"), "Negada", "Passa")</f>
        <v>Passa</v>
      </c>
      <c r="N206" s="25" t="str">
        <f>IF(AND(I206&gt;50000, J206="Sim"), "Negada", "Passa")</f>
        <v>Passa</v>
      </c>
      <c r="O206" s="39">
        <v>46500</v>
      </c>
      <c r="P206" s="43">
        <f t="shared" si="3"/>
        <v>50220</v>
      </c>
    </row>
    <row r="207" spans="1:16">
      <c r="A207" s="10" t="s">
        <v>39</v>
      </c>
      <c r="B207" s="11" t="s">
        <v>645</v>
      </c>
      <c r="C207" s="11" t="s">
        <v>646</v>
      </c>
      <c r="D207" s="12">
        <v>58</v>
      </c>
      <c r="E207" s="13" t="s">
        <v>647</v>
      </c>
      <c r="F207" s="11" t="s">
        <v>135</v>
      </c>
      <c r="G207" s="11" t="s">
        <v>93</v>
      </c>
      <c r="H207" s="35">
        <v>4500</v>
      </c>
      <c r="I207" s="35">
        <v>78000</v>
      </c>
      <c r="J207" s="11" t="s">
        <v>23</v>
      </c>
      <c r="K207" s="14">
        <v>25</v>
      </c>
      <c r="L207" s="11" t="str">
        <f>IF(K207&lt;=10, "Baixo", IF(K207&lt;=25, "Médio", "Alto"))</f>
        <v>Médio</v>
      </c>
      <c r="M207" s="25" t="str">
        <f>IF(AND(L207="Alto", J207="Sim"), "Negada", "Passa")</f>
        <v>Passa</v>
      </c>
      <c r="N207" s="25" t="str">
        <f>IF(AND(I207&gt;50000, J207="Sim"), "Negada", "Passa")</f>
        <v>Passa</v>
      </c>
      <c r="O207" s="39">
        <v>48000</v>
      </c>
      <c r="P207" s="43">
        <f t="shared" si="3"/>
        <v>0</v>
      </c>
    </row>
    <row r="208" spans="1:16">
      <c r="A208" s="10" t="s">
        <v>17</v>
      </c>
      <c r="B208" s="11" t="s">
        <v>645</v>
      </c>
      <c r="C208" s="11" t="s">
        <v>648</v>
      </c>
      <c r="D208" s="12">
        <v>22</v>
      </c>
      <c r="E208" s="13" t="s">
        <v>35</v>
      </c>
      <c r="F208" s="11" t="s">
        <v>21</v>
      </c>
      <c r="G208" s="11" t="s">
        <v>22</v>
      </c>
      <c r="H208" s="35">
        <v>14400</v>
      </c>
      <c r="I208" s="35">
        <v>19500</v>
      </c>
      <c r="J208" s="11" t="s">
        <v>23</v>
      </c>
      <c r="K208" s="14">
        <v>42</v>
      </c>
      <c r="L208" s="11" t="str">
        <f>IF(K208&lt;=10, "Baixo", IF(K208&lt;=25, "Médio", "Alto"))</f>
        <v>Alto</v>
      </c>
      <c r="M208" s="25" t="str">
        <f>IF(AND(L208="Alto", J208="Sim"), "Negada", "Passa")</f>
        <v>Passa</v>
      </c>
      <c r="N208" s="25" t="str">
        <f>IF(AND(I208&gt;50000, J208="Sim"), "Negada", "Passa")</f>
        <v>Passa</v>
      </c>
      <c r="O208" s="39">
        <v>89500</v>
      </c>
      <c r="P208" s="43">
        <f t="shared" si="3"/>
        <v>96660</v>
      </c>
    </row>
    <row r="209" spans="1:16">
      <c r="A209" s="10" t="s">
        <v>17</v>
      </c>
      <c r="B209" s="11" t="s">
        <v>649</v>
      </c>
      <c r="C209" s="11" t="s">
        <v>650</v>
      </c>
      <c r="D209" s="12">
        <v>40</v>
      </c>
      <c r="E209" s="13" t="s">
        <v>651</v>
      </c>
      <c r="F209" s="11" t="s">
        <v>131</v>
      </c>
      <c r="G209" s="11" t="s">
        <v>56</v>
      </c>
      <c r="H209" s="35">
        <v>18700</v>
      </c>
      <c r="I209" s="35">
        <v>66000</v>
      </c>
      <c r="J209" s="11" t="s">
        <v>35</v>
      </c>
      <c r="K209" s="14"/>
      <c r="L209" s="11" t="str">
        <f>IF(K209&lt;=10, "Baixo", IF(K209&lt;=25, "Médio", "Alto"))</f>
        <v>Baixo</v>
      </c>
      <c r="M209" s="25" t="str">
        <f>IF(AND(L209="Alto", J209="Sim"), "Negada", "Passa")</f>
        <v>Passa</v>
      </c>
      <c r="N209" s="25" t="str">
        <f>IF(AND(I209&gt;50000, J209="Sim"), "Negada", "Passa")</f>
        <v>Passa</v>
      </c>
      <c r="O209" s="39"/>
      <c r="P209" s="43">
        <f t="shared" si="3"/>
        <v>0</v>
      </c>
    </row>
    <row r="210" spans="1:16">
      <c r="A210" s="10" t="s">
        <v>17</v>
      </c>
      <c r="B210" s="11" t="s">
        <v>652</v>
      </c>
      <c r="C210" s="11" t="s">
        <v>653</v>
      </c>
      <c r="D210" s="12">
        <v>29</v>
      </c>
      <c r="E210" s="13" t="s">
        <v>654</v>
      </c>
      <c r="F210" s="11" t="s">
        <v>192</v>
      </c>
      <c r="G210" s="11" t="s">
        <v>193</v>
      </c>
      <c r="H210" s="35">
        <v>6400</v>
      </c>
      <c r="I210" s="35">
        <v>45500</v>
      </c>
      <c r="J210" s="11" t="s">
        <v>23</v>
      </c>
      <c r="K210" s="14">
        <v>6</v>
      </c>
      <c r="L210" s="11" t="str">
        <f>IF(K210&lt;=10, "Baixo", IF(K210&lt;=25, "Médio", "Alto"))</f>
        <v>Baixo</v>
      </c>
      <c r="M210" s="25" t="str">
        <f>IF(AND(L210="Alto", J210="Sim"), "Negada", "Passa")</f>
        <v>Passa</v>
      </c>
      <c r="N210" s="25" t="str">
        <f>IF(AND(I210&gt;50000, J210="Sim"), "Negada", "Passa")</f>
        <v>Passa</v>
      </c>
      <c r="O210" s="39">
        <v>49500</v>
      </c>
      <c r="P210" s="43">
        <f t="shared" si="3"/>
        <v>53460</v>
      </c>
    </row>
    <row r="211" spans="1:16">
      <c r="A211" s="10" t="s">
        <v>39</v>
      </c>
      <c r="B211" s="11" t="s">
        <v>655</v>
      </c>
      <c r="C211" s="11" t="s">
        <v>656</v>
      </c>
      <c r="D211" s="12">
        <v>53</v>
      </c>
      <c r="E211" s="13" t="s">
        <v>657</v>
      </c>
      <c r="F211" s="11" t="s">
        <v>97</v>
      </c>
      <c r="G211" s="11" t="s">
        <v>56</v>
      </c>
      <c r="H211" s="35">
        <v>16500</v>
      </c>
      <c r="I211" s="35">
        <v>68500</v>
      </c>
      <c r="J211" s="11" t="s">
        <v>35</v>
      </c>
      <c r="K211" s="14"/>
      <c r="L211" s="11" t="str">
        <f>IF(K211&lt;=10, "Baixo", IF(K211&lt;=25, "Médio", "Alto"))</f>
        <v>Baixo</v>
      </c>
      <c r="M211" s="25" t="str">
        <f>IF(AND(L211="Alto", J211="Sim"), "Negada", "Passa")</f>
        <v>Passa</v>
      </c>
      <c r="N211" s="25" t="str">
        <f>IF(AND(I211&gt;50000, J211="Sim"), "Negada", "Passa")</f>
        <v>Passa</v>
      </c>
      <c r="O211" s="39"/>
      <c r="P211" s="43">
        <f t="shared" si="3"/>
        <v>0</v>
      </c>
    </row>
    <row r="212" spans="1:16">
      <c r="A212" s="10" t="s">
        <v>17</v>
      </c>
      <c r="B212" s="11" t="s">
        <v>658</v>
      </c>
      <c r="C212" s="11" t="s">
        <v>659</v>
      </c>
      <c r="D212" s="12">
        <v>60</v>
      </c>
      <c r="E212" s="13" t="s">
        <v>660</v>
      </c>
      <c r="F212" s="15" t="s">
        <v>33</v>
      </c>
      <c r="G212" s="11" t="s">
        <v>34</v>
      </c>
      <c r="H212" s="35">
        <v>9700</v>
      </c>
      <c r="I212" s="35">
        <v>75000</v>
      </c>
      <c r="J212" s="11" t="s">
        <v>23</v>
      </c>
      <c r="K212" s="14">
        <v>25</v>
      </c>
      <c r="L212" s="11" t="str">
        <f>IF(K212&lt;=10, "Baixo", IF(K212&lt;=25, "Médio", "Alto"))</f>
        <v>Médio</v>
      </c>
      <c r="M212" s="25" t="str">
        <f>IF(AND(L212="Alto", J212="Sim"), "Negada", "Passa")</f>
        <v>Passa</v>
      </c>
      <c r="N212" s="25" t="str">
        <f>IF(AND(I212&gt;50000, J212="Sim"), "Negada", "Passa")</f>
        <v>Passa</v>
      </c>
      <c r="O212" s="39">
        <v>47000</v>
      </c>
      <c r="P212" s="43">
        <f t="shared" si="3"/>
        <v>50760</v>
      </c>
    </row>
    <row r="213" spans="1:16">
      <c r="A213" s="10" t="s">
        <v>39</v>
      </c>
      <c r="B213" s="11" t="s">
        <v>658</v>
      </c>
      <c r="C213" s="11" t="s">
        <v>661</v>
      </c>
      <c r="D213" s="12">
        <v>31</v>
      </c>
      <c r="E213" s="13" t="s">
        <v>662</v>
      </c>
      <c r="F213" s="11" t="s">
        <v>92</v>
      </c>
      <c r="G213" s="11" t="s">
        <v>93</v>
      </c>
      <c r="H213" s="35">
        <v>16400</v>
      </c>
      <c r="I213" s="35">
        <v>69000</v>
      </c>
      <c r="J213" s="11" t="s">
        <v>29</v>
      </c>
      <c r="K213" s="14">
        <v>0</v>
      </c>
      <c r="L213" s="11" t="str">
        <f>IF(K213&lt;=10, "Baixo", IF(K213&lt;=25, "Médio", "Alto"))</f>
        <v>Baixo</v>
      </c>
      <c r="M213" s="25" t="str">
        <f>IF(AND(L213="Alto", J213="Sim"), "Negada", "Passa")</f>
        <v>Passa</v>
      </c>
      <c r="N213" s="25" t="str">
        <f>IF(AND(I213&gt;50000, J213="Sim"), "Negada", "Passa")</f>
        <v>Negada</v>
      </c>
      <c r="O213" s="39">
        <v>4500</v>
      </c>
      <c r="P213" s="43">
        <f t="shared" si="3"/>
        <v>0</v>
      </c>
    </row>
    <row r="214" spans="1:16">
      <c r="A214" s="10" t="s">
        <v>17</v>
      </c>
      <c r="B214" s="11" t="s">
        <v>663</v>
      </c>
      <c r="C214" s="11" t="s">
        <v>664</v>
      </c>
      <c r="D214" s="12">
        <v>22</v>
      </c>
      <c r="E214" s="13" t="s">
        <v>665</v>
      </c>
      <c r="F214" s="11" t="s">
        <v>71</v>
      </c>
      <c r="G214" s="11" t="s">
        <v>72</v>
      </c>
      <c r="H214" s="35">
        <v>10500</v>
      </c>
      <c r="I214" s="35">
        <v>35000</v>
      </c>
      <c r="J214" s="11" t="s">
        <v>23</v>
      </c>
      <c r="K214" s="14">
        <v>6</v>
      </c>
      <c r="L214" s="11" t="str">
        <f>IF(K214&lt;=10, "Baixo", IF(K214&lt;=25, "Médio", "Alto"))</f>
        <v>Baixo</v>
      </c>
      <c r="M214" s="25" t="str">
        <f>IF(AND(L214="Alto", J214="Sim"), "Negada", "Passa")</f>
        <v>Passa</v>
      </c>
      <c r="N214" s="25" t="str">
        <f>IF(AND(I214&gt;50000, J214="Sim"), "Negada", "Passa")</f>
        <v>Passa</v>
      </c>
      <c r="O214" s="39">
        <v>29500</v>
      </c>
      <c r="P214" s="43">
        <f t="shared" si="3"/>
        <v>31860.000000000004</v>
      </c>
    </row>
    <row r="215" spans="1:16">
      <c r="A215" s="10" t="s">
        <v>17</v>
      </c>
      <c r="B215" s="11" t="s">
        <v>666</v>
      </c>
      <c r="C215" s="11" t="s">
        <v>667</v>
      </c>
      <c r="D215" s="12">
        <v>31</v>
      </c>
      <c r="E215" s="13" t="s">
        <v>668</v>
      </c>
      <c r="F215" s="11" t="s">
        <v>131</v>
      </c>
      <c r="G215" s="11" t="s">
        <v>56</v>
      </c>
      <c r="H215" s="35">
        <v>20500</v>
      </c>
      <c r="I215" s="35">
        <f>2*1000</f>
        <v>2000</v>
      </c>
      <c r="J215" s="11" t="s">
        <v>35</v>
      </c>
      <c r="K215" s="14"/>
      <c r="L215" s="11" t="str">
        <f>IF(K215&lt;=10, "Baixo", IF(K215&lt;=25, "Médio", "Alto"))</f>
        <v>Baixo</v>
      </c>
      <c r="M215" s="25" t="str">
        <f>IF(AND(L215="Alto", J215="Sim"), "Negada", "Passa")</f>
        <v>Passa</v>
      </c>
      <c r="N215" s="25" t="str">
        <f>IF(AND(I215&gt;50000, J215="Sim"), "Negada", "Passa")</f>
        <v>Passa</v>
      </c>
      <c r="O215" s="39"/>
      <c r="P215" s="43">
        <f t="shared" si="3"/>
        <v>0</v>
      </c>
    </row>
    <row r="216" spans="1:16">
      <c r="A216" s="10" t="s">
        <v>17</v>
      </c>
      <c r="B216" s="11" t="s">
        <v>669</v>
      </c>
      <c r="C216" s="11" t="s">
        <v>670</v>
      </c>
      <c r="D216" s="12">
        <v>58</v>
      </c>
      <c r="E216" s="13" t="s">
        <v>671</v>
      </c>
      <c r="F216" s="11" t="s">
        <v>21</v>
      </c>
      <c r="G216" s="11" t="s">
        <v>22</v>
      </c>
      <c r="H216" s="35">
        <v>12400</v>
      </c>
      <c r="I216" s="35">
        <v>73500</v>
      </c>
      <c r="J216" s="11" t="s">
        <v>23</v>
      </c>
      <c r="K216" s="14">
        <v>2</v>
      </c>
      <c r="L216" s="11" t="str">
        <f>IF(K216&lt;=10, "Baixo", IF(K216&lt;=25, "Médio", "Alto"))</f>
        <v>Baixo</v>
      </c>
      <c r="M216" s="25" t="str">
        <f>IF(AND(L216="Alto", J216="Sim"), "Negada", "Passa")</f>
        <v>Passa</v>
      </c>
      <c r="N216" s="25" t="str">
        <f>IF(AND(I216&gt;50000, J216="Sim"), "Negada", "Passa")</f>
        <v>Passa</v>
      </c>
      <c r="O216" s="39">
        <v>33000</v>
      </c>
      <c r="P216" s="43">
        <f t="shared" si="3"/>
        <v>35640</v>
      </c>
    </row>
    <row r="217" spans="1:16">
      <c r="A217" s="10" t="s">
        <v>17</v>
      </c>
      <c r="B217" s="15" t="s">
        <v>672</v>
      </c>
      <c r="C217" s="11" t="s">
        <v>673</v>
      </c>
      <c r="D217" s="12">
        <v>50</v>
      </c>
      <c r="E217" s="13" t="s">
        <v>674</v>
      </c>
      <c r="F217" s="11" t="s">
        <v>92</v>
      </c>
      <c r="G217" s="11" t="s">
        <v>93</v>
      </c>
      <c r="H217" s="35">
        <v>22800</v>
      </c>
      <c r="I217" s="35"/>
      <c r="J217" s="11" t="s">
        <v>23</v>
      </c>
      <c r="K217" s="14">
        <v>24</v>
      </c>
      <c r="L217" s="11" t="str">
        <f>IF(K217&lt;=10, "Baixo", IF(K217&lt;=25, "Médio", "Alto"))</f>
        <v>Médio</v>
      </c>
      <c r="M217" s="25" t="str">
        <f>IF(AND(L217="Alto", J217="Sim"), "Negada", "Passa")</f>
        <v>Passa</v>
      </c>
      <c r="N217" s="25" t="str">
        <f>IF(AND(I217&gt;50000, J217="Sim"), "Negada", "Passa")</f>
        <v>Passa</v>
      </c>
      <c r="O217" s="39">
        <v>16000</v>
      </c>
      <c r="P217" s="43">
        <f t="shared" si="3"/>
        <v>17280</v>
      </c>
    </row>
    <row r="218" spans="1:16">
      <c r="A218" s="10" t="s">
        <v>17</v>
      </c>
      <c r="B218" s="11" t="s">
        <v>675</v>
      </c>
      <c r="C218" s="11" t="s">
        <v>676</v>
      </c>
      <c r="D218" s="12">
        <v>56</v>
      </c>
      <c r="E218" s="13" t="s">
        <v>677</v>
      </c>
      <c r="F218" s="11" t="s">
        <v>206</v>
      </c>
      <c r="G218" s="11" t="s">
        <v>34</v>
      </c>
      <c r="H218" s="35">
        <v>28300</v>
      </c>
      <c r="I218" s="35"/>
      <c r="J218" s="11" t="s">
        <v>35</v>
      </c>
      <c r="K218" s="14"/>
      <c r="L218" s="11" t="str">
        <f>IF(K218&lt;=10, "Baixo", IF(K218&lt;=25, "Médio", "Alto"))</f>
        <v>Baixo</v>
      </c>
      <c r="M218" s="25" t="str">
        <f>IF(AND(L218="Alto", J218="Sim"), "Negada", "Passa")</f>
        <v>Passa</v>
      </c>
      <c r="N218" s="25" t="str">
        <f>IF(AND(I218&gt;50000, J218="Sim"), "Negada", "Passa")</f>
        <v>Passa</v>
      </c>
      <c r="O218" s="39"/>
      <c r="P218" s="43">
        <f t="shared" si="3"/>
        <v>0</v>
      </c>
    </row>
    <row r="219" spans="1:16">
      <c r="A219" s="10" t="s">
        <v>39</v>
      </c>
      <c r="B219" s="11" t="s">
        <v>678</v>
      </c>
      <c r="C219" s="11" t="s">
        <v>679</v>
      </c>
      <c r="D219" s="12">
        <v>38</v>
      </c>
      <c r="E219" s="13" t="s">
        <v>680</v>
      </c>
      <c r="F219" s="11" t="s">
        <v>233</v>
      </c>
      <c r="G219" s="11" t="s">
        <v>234</v>
      </c>
      <c r="H219" s="35">
        <v>15800</v>
      </c>
      <c r="I219" s="35">
        <v>69000</v>
      </c>
      <c r="J219" s="11" t="s">
        <v>23</v>
      </c>
      <c r="K219" s="14">
        <v>4</v>
      </c>
      <c r="L219" s="11" t="str">
        <f>IF(K219&lt;=10, "Baixo", IF(K219&lt;=25, "Médio", "Alto"))</f>
        <v>Baixo</v>
      </c>
      <c r="M219" s="25" t="str">
        <f>IF(AND(L219="Alto", J219="Sim"), "Negada", "Passa")</f>
        <v>Passa</v>
      </c>
      <c r="N219" s="25" t="str">
        <f>IF(AND(I219&gt;50000, J219="Sim"), "Negada", "Passa")</f>
        <v>Passa</v>
      </c>
      <c r="O219" s="39">
        <v>80500</v>
      </c>
      <c r="P219" s="43">
        <f t="shared" si="3"/>
        <v>0</v>
      </c>
    </row>
    <row r="220" spans="1:16">
      <c r="A220" s="10" t="s">
        <v>17</v>
      </c>
      <c r="B220" s="11" t="s">
        <v>678</v>
      </c>
      <c r="C220" s="11" t="s">
        <v>681</v>
      </c>
      <c r="D220" s="12">
        <v>62</v>
      </c>
      <c r="E220" s="13" t="s">
        <v>682</v>
      </c>
      <c r="F220" s="11" t="s">
        <v>55</v>
      </c>
      <c r="G220" s="11" t="s">
        <v>56</v>
      </c>
      <c r="H220" s="35">
        <v>17000</v>
      </c>
      <c r="I220" s="35">
        <v>14500</v>
      </c>
      <c r="J220" s="11" t="s">
        <v>23</v>
      </c>
      <c r="K220" s="14">
        <v>15</v>
      </c>
      <c r="L220" s="11" t="str">
        <f>IF(K220&lt;=10, "Baixo", IF(K220&lt;=25, "Médio", "Alto"))</f>
        <v>Médio</v>
      </c>
      <c r="M220" s="25" t="str">
        <f>IF(AND(L220="Alto", J220="Sim"), "Negada", "Passa")</f>
        <v>Passa</v>
      </c>
      <c r="N220" s="25" t="str">
        <f>IF(AND(I220&gt;50000, J220="Sim"), "Negada", "Passa")</f>
        <v>Passa</v>
      </c>
      <c r="O220" s="39">
        <v>65500</v>
      </c>
      <c r="P220" s="43">
        <f t="shared" si="3"/>
        <v>70740</v>
      </c>
    </row>
    <row r="221" spans="1:16">
      <c r="A221" s="10" t="s">
        <v>17</v>
      </c>
      <c r="B221" s="11" t="s">
        <v>683</v>
      </c>
      <c r="C221" s="11" t="s">
        <v>684</v>
      </c>
      <c r="D221" s="12">
        <v>42</v>
      </c>
      <c r="E221" s="13" t="s">
        <v>685</v>
      </c>
      <c r="F221" s="11" t="s">
        <v>92</v>
      </c>
      <c r="G221" s="11" t="s">
        <v>93</v>
      </c>
      <c r="H221" s="35">
        <v>6000</v>
      </c>
      <c r="I221" s="35">
        <v>48000</v>
      </c>
      <c r="J221" s="11" t="s">
        <v>35</v>
      </c>
      <c r="K221" s="14"/>
      <c r="L221" s="11" t="str">
        <f>IF(K221&lt;=10, "Baixo", IF(K221&lt;=25, "Médio", "Alto"))</f>
        <v>Baixo</v>
      </c>
      <c r="M221" s="25" t="str">
        <f>IF(AND(L221="Alto", J221="Sim"), "Negada", "Passa")</f>
        <v>Passa</v>
      </c>
      <c r="N221" s="25" t="str">
        <f>IF(AND(I221&gt;50000, J221="Sim"), "Negada", "Passa")</f>
        <v>Passa</v>
      </c>
      <c r="O221" s="39"/>
      <c r="P221" s="43">
        <f t="shared" si="3"/>
        <v>0</v>
      </c>
    </row>
    <row r="222" spans="1:16">
      <c r="A222" s="10" t="s">
        <v>17</v>
      </c>
      <c r="B222" s="11" t="s">
        <v>686</v>
      </c>
      <c r="C222" s="11" t="s">
        <v>687</v>
      </c>
      <c r="D222" s="12">
        <v>47</v>
      </c>
      <c r="E222" s="13" t="s">
        <v>688</v>
      </c>
      <c r="F222" s="11" t="s">
        <v>21</v>
      </c>
      <c r="G222" s="11" t="s">
        <v>22</v>
      </c>
      <c r="H222" s="35">
        <v>5000</v>
      </c>
      <c r="I222" s="35">
        <v>49500</v>
      </c>
      <c r="J222" s="11" t="s">
        <v>23</v>
      </c>
      <c r="K222" s="14">
        <v>12</v>
      </c>
      <c r="L222" s="11" t="str">
        <f>IF(K222&lt;=10, "Baixo", IF(K222&lt;=25, "Médio", "Alto"))</f>
        <v>Médio</v>
      </c>
      <c r="M222" s="25" t="str">
        <f>IF(AND(L222="Alto", J222="Sim"), "Negada", "Passa")</f>
        <v>Passa</v>
      </c>
      <c r="N222" s="25" t="str">
        <f>IF(AND(I222&gt;50000, J222="Sim"), "Negada", "Passa")</f>
        <v>Passa</v>
      </c>
      <c r="O222" s="39">
        <v>34500</v>
      </c>
      <c r="P222" s="43">
        <f t="shared" si="3"/>
        <v>37260</v>
      </c>
    </row>
    <row r="223" spans="1:16">
      <c r="A223" s="10" t="s">
        <v>39</v>
      </c>
      <c r="B223" s="11" t="s">
        <v>689</v>
      </c>
      <c r="C223" s="11" t="s">
        <v>690</v>
      </c>
      <c r="D223" s="12">
        <v>55</v>
      </c>
      <c r="E223" s="13" t="s">
        <v>691</v>
      </c>
      <c r="F223" s="11" t="s">
        <v>233</v>
      </c>
      <c r="G223" s="11" t="s">
        <v>234</v>
      </c>
      <c r="H223" s="35">
        <v>5300</v>
      </c>
      <c r="I223" s="35">
        <v>48500</v>
      </c>
      <c r="J223" s="11" t="s">
        <v>23</v>
      </c>
      <c r="K223" s="14">
        <v>28</v>
      </c>
      <c r="L223" s="11" t="str">
        <f>IF(K223&lt;=10, "Baixo", IF(K223&lt;=25, "Médio", "Alto"))</f>
        <v>Alto</v>
      </c>
      <c r="M223" s="25" t="str">
        <f>IF(AND(L223="Alto", J223="Sim"), "Negada", "Passa")</f>
        <v>Passa</v>
      </c>
      <c r="N223" s="25" t="str">
        <f>IF(AND(I223&gt;50000, J223="Sim"), "Negada", "Passa")</f>
        <v>Passa</v>
      </c>
      <c r="O223" s="39">
        <v>20000</v>
      </c>
      <c r="P223" s="43">
        <f t="shared" si="3"/>
        <v>0</v>
      </c>
    </row>
    <row r="224" spans="1:16">
      <c r="A224" s="10" t="s">
        <v>39</v>
      </c>
      <c r="B224" s="11" t="s">
        <v>692</v>
      </c>
      <c r="C224" s="11" t="s">
        <v>693</v>
      </c>
      <c r="D224" s="12">
        <v>31</v>
      </c>
      <c r="E224" s="13" t="s">
        <v>694</v>
      </c>
      <c r="F224" s="11" t="s">
        <v>135</v>
      </c>
      <c r="G224" s="11" t="s">
        <v>93</v>
      </c>
      <c r="H224" s="35">
        <v>24900</v>
      </c>
      <c r="I224" s="35">
        <v>62000</v>
      </c>
      <c r="J224" s="11" t="s">
        <v>23</v>
      </c>
      <c r="K224" s="14">
        <v>31</v>
      </c>
      <c r="L224" s="11" t="str">
        <f>IF(K224&lt;=10, "Baixo", IF(K224&lt;=25, "Médio", "Alto"))</f>
        <v>Alto</v>
      </c>
      <c r="M224" s="25" t="str">
        <f>IF(AND(L224="Alto", J224="Sim"), "Negada", "Passa")</f>
        <v>Passa</v>
      </c>
      <c r="N224" s="25" t="str">
        <f>IF(AND(I224&gt;50000, J224="Sim"), "Negada", "Passa")</f>
        <v>Passa</v>
      </c>
      <c r="O224" s="39">
        <v>60500</v>
      </c>
      <c r="P224" s="43">
        <f t="shared" si="3"/>
        <v>0</v>
      </c>
    </row>
    <row r="225" spans="1:16">
      <c r="A225" s="10" t="s">
        <v>17</v>
      </c>
      <c r="B225" s="11" t="s">
        <v>692</v>
      </c>
      <c r="C225" s="11" t="s">
        <v>695</v>
      </c>
      <c r="D225" s="12"/>
      <c r="E225" s="13" t="s">
        <v>696</v>
      </c>
      <c r="F225" s="11" t="s">
        <v>46</v>
      </c>
      <c r="G225" s="11" t="s">
        <v>46</v>
      </c>
      <c r="H225" s="35"/>
      <c r="I225" s="35"/>
      <c r="J225" s="11" t="s">
        <v>35</v>
      </c>
      <c r="K225" s="14"/>
      <c r="L225" s="11" t="str">
        <f>IF(K225&lt;=10, "Baixo", IF(K225&lt;=25, "Médio", "Alto"))</f>
        <v>Baixo</v>
      </c>
      <c r="M225" s="25" t="str">
        <f>IF(AND(L225="Alto", J225="Sim"), "Negada", "Passa")</f>
        <v>Passa</v>
      </c>
      <c r="N225" s="25" t="str">
        <f>IF(AND(I225&gt;50000, J225="Sim"), "Negada", "Passa")</f>
        <v>Passa</v>
      </c>
      <c r="O225" s="39"/>
      <c r="P225" s="43">
        <f t="shared" si="3"/>
        <v>0</v>
      </c>
    </row>
    <row r="226" spans="1:16">
      <c r="A226" s="10" t="s">
        <v>17</v>
      </c>
      <c r="B226" s="11" t="s">
        <v>697</v>
      </c>
      <c r="C226" s="11" t="s">
        <v>698</v>
      </c>
      <c r="D226" s="12">
        <v>25</v>
      </c>
      <c r="E226" s="13" t="s">
        <v>699</v>
      </c>
      <c r="F226" s="11" t="s">
        <v>128</v>
      </c>
      <c r="G226" s="11" t="s">
        <v>28</v>
      </c>
      <c r="H226" s="35">
        <v>9400</v>
      </c>
      <c r="I226" s="35">
        <v>38500</v>
      </c>
      <c r="J226" s="11" t="s">
        <v>35</v>
      </c>
      <c r="K226" s="14">
        <v>26</v>
      </c>
      <c r="L226" s="11" t="str">
        <f>IF(K226&lt;=10, "Baixo", IF(K226&lt;=25, "Médio", "Alto"))</f>
        <v>Alto</v>
      </c>
      <c r="M226" s="25" t="str">
        <f>IF(AND(L226="Alto", J226="Sim"), "Negada", "Passa")</f>
        <v>Passa</v>
      </c>
      <c r="N226" s="25" t="str">
        <f>IF(AND(I226&gt;50000, J226="Sim"), "Negada", "Passa")</f>
        <v>Passa</v>
      </c>
      <c r="O226" s="39">
        <v>51000</v>
      </c>
      <c r="P226" s="43">
        <f t="shared" si="3"/>
        <v>55080</v>
      </c>
    </row>
    <row r="227" spans="1:16">
      <c r="A227" s="10" t="s">
        <v>17</v>
      </c>
      <c r="B227" s="11" t="s">
        <v>700</v>
      </c>
      <c r="C227" s="11" t="s">
        <v>701</v>
      </c>
      <c r="D227" s="12">
        <v>60</v>
      </c>
      <c r="E227" s="13" t="s">
        <v>702</v>
      </c>
      <c r="F227" s="11" t="s">
        <v>319</v>
      </c>
      <c r="G227" s="11" t="s">
        <v>56</v>
      </c>
      <c r="H227" s="35">
        <v>22900</v>
      </c>
      <c r="I227" s="35"/>
      <c r="J227" s="11" t="s">
        <v>23</v>
      </c>
      <c r="K227" s="14">
        <v>21</v>
      </c>
      <c r="L227" s="11" t="str">
        <f>IF(K227&lt;=10, "Baixo", IF(K227&lt;=25, "Médio", "Alto"))</f>
        <v>Médio</v>
      </c>
      <c r="M227" s="25" t="str">
        <f>IF(AND(L227="Alto", J227="Sim"), "Negada", "Passa")</f>
        <v>Passa</v>
      </c>
      <c r="N227" s="25" t="str">
        <f>IF(AND(I227&gt;50000, J227="Sim"), "Negada", "Passa")</f>
        <v>Passa</v>
      </c>
      <c r="O227" s="39">
        <v>50500</v>
      </c>
      <c r="P227" s="43">
        <f t="shared" si="3"/>
        <v>54540</v>
      </c>
    </row>
    <row r="228" spans="1:16">
      <c r="A228" s="10" t="s">
        <v>17</v>
      </c>
      <c r="B228" s="15" t="s">
        <v>703</v>
      </c>
      <c r="C228" s="11" t="s">
        <v>704</v>
      </c>
      <c r="D228" s="12">
        <v>40</v>
      </c>
      <c r="E228" s="13" t="s">
        <v>705</v>
      </c>
      <c r="F228" s="11" t="s">
        <v>97</v>
      </c>
      <c r="G228" s="11" t="s">
        <v>56</v>
      </c>
      <c r="H228" s="35">
        <v>2130000</v>
      </c>
      <c r="I228" s="35"/>
      <c r="J228" s="11" t="s">
        <v>35</v>
      </c>
      <c r="K228" s="14"/>
      <c r="L228" s="11" t="str">
        <f>IF(K228&lt;=10, "Baixo", IF(K228&lt;=25, "Médio", "Alto"))</f>
        <v>Baixo</v>
      </c>
      <c r="M228" s="25" t="str">
        <f>IF(AND(L228="Alto", J228="Sim"), "Negada", "Passa")</f>
        <v>Passa</v>
      </c>
      <c r="N228" s="25" t="str">
        <f>IF(AND(I228&gt;50000, J228="Sim"), "Negada", "Passa")</f>
        <v>Passa</v>
      </c>
      <c r="O228" s="39"/>
      <c r="P228" s="43">
        <f t="shared" si="3"/>
        <v>0</v>
      </c>
    </row>
    <row r="229" spans="1:16">
      <c r="A229" s="10" t="s">
        <v>17</v>
      </c>
      <c r="B229" s="11" t="s">
        <v>706</v>
      </c>
      <c r="C229" s="11" t="s">
        <v>707</v>
      </c>
      <c r="D229" s="12">
        <v>32</v>
      </c>
      <c r="E229" s="13" t="s">
        <v>708</v>
      </c>
      <c r="F229" s="11" t="s">
        <v>33</v>
      </c>
      <c r="G229" s="11" t="s">
        <v>34</v>
      </c>
      <c r="H229" s="35">
        <v>21300</v>
      </c>
      <c r="I229" s="35">
        <v>64000</v>
      </c>
      <c r="J229" s="11" t="s">
        <v>29</v>
      </c>
      <c r="K229" s="14">
        <v>21</v>
      </c>
      <c r="L229" s="11" t="str">
        <f>IF(K229&lt;=10, "Baixo", IF(K229&lt;=25, "Médio", "Alto"))</f>
        <v>Médio</v>
      </c>
      <c r="M229" s="25" t="str">
        <f>IF(AND(L229="Alto", J229="Sim"), "Negada", "Passa")</f>
        <v>Passa</v>
      </c>
      <c r="N229" s="25" t="str">
        <f>IF(AND(I229&gt;50000, J229="Sim"), "Negada", "Passa")</f>
        <v>Negada</v>
      </c>
      <c r="O229" s="39">
        <v>19000</v>
      </c>
      <c r="P229" s="43">
        <f t="shared" si="3"/>
        <v>0</v>
      </c>
    </row>
    <row r="230" spans="1:16">
      <c r="A230" s="10" t="s">
        <v>17</v>
      </c>
      <c r="B230" s="11" t="s">
        <v>709</v>
      </c>
      <c r="C230" s="11" t="s">
        <v>710</v>
      </c>
      <c r="D230" s="12">
        <v>39</v>
      </c>
      <c r="E230" s="13" t="s">
        <v>711</v>
      </c>
      <c r="F230" s="11" t="s">
        <v>128</v>
      </c>
      <c r="G230" s="11" t="s">
        <v>28</v>
      </c>
      <c r="H230" s="35">
        <v>29900</v>
      </c>
      <c r="I230" s="35"/>
      <c r="J230" s="11" t="s">
        <v>35</v>
      </c>
      <c r="K230" s="14"/>
      <c r="L230" s="11" t="str">
        <f>IF(K230&lt;=10, "Baixo", IF(K230&lt;=25, "Médio", "Alto"))</f>
        <v>Baixo</v>
      </c>
      <c r="M230" s="25" t="str">
        <f>IF(AND(L230="Alto", J230="Sim"), "Negada", "Passa")</f>
        <v>Passa</v>
      </c>
      <c r="N230" s="25" t="str">
        <f>IF(AND(I230&gt;50000, J230="Sim"), "Negada", "Passa")</f>
        <v>Passa</v>
      </c>
      <c r="O230" s="39"/>
      <c r="P230" s="43">
        <f t="shared" si="3"/>
        <v>0</v>
      </c>
    </row>
    <row r="231" spans="1:16">
      <c r="A231" s="10" t="s">
        <v>17</v>
      </c>
      <c r="B231" s="11" t="s">
        <v>712</v>
      </c>
      <c r="C231" s="11" t="s">
        <v>713</v>
      </c>
      <c r="D231" s="12">
        <v>56</v>
      </c>
      <c r="E231" s="13" t="s">
        <v>714</v>
      </c>
      <c r="F231" s="15" t="s">
        <v>60</v>
      </c>
      <c r="G231" s="11" t="s">
        <v>61</v>
      </c>
      <c r="H231" s="35">
        <v>14900</v>
      </c>
      <c r="I231" s="35">
        <v>69500</v>
      </c>
      <c r="J231" s="15" t="s">
        <v>23</v>
      </c>
      <c r="K231" s="14">
        <v>13</v>
      </c>
      <c r="L231" s="11" t="str">
        <f>IF(K231&lt;=10, "Baixo", IF(K231&lt;=25, "Médio", "Alto"))</f>
        <v>Médio</v>
      </c>
      <c r="M231" s="25" t="str">
        <f>IF(AND(L231="Alto", J231="Sim"), "Negada", "Passa")</f>
        <v>Passa</v>
      </c>
      <c r="N231" s="25" t="str">
        <f>IF(AND(I231&gt;50000, J231="Sim"), "Negada", "Passa")</f>
        <v>Passa</v>
      </c>
      <c r="O231" s="39">
        <v>43500</v>
      </c>
      <c r="P231" s="43">
        <f t="shared" si="3"/>
        <v>46980</v>
      </c>
    </row>
    <row r="232" spans="1:16">
      <c r="A232" s="10" t="s">
        <v>17</v>
      </c>
      <c r="B232" s="11" t="s">
        <v>715</v>
      </c>
      <c r="C232" s="11" t="s">
        <v>716</v>
      </c>
      <c r="D232" s="12">
        <v>42</v>
      </c>
      <c r="E232" s="13" t="s">
        <v>717</v>
      </c>
      <c r="F232" s="11" t="s">
        <v>115</v>
      </c>
      <c r="G232" s="11" t="s">
        <v>116</v>
      </c>
      <c r="H232" s="35">
        <v>20800</v>
      </c>
      <c r="I232" s="35">
        <v>1500</v>
      </c>
      <c r="J232" s="11" t="s">
        <v>29</v>
      </c>
      <c r="K232" s="14">
        <v>32</v>
      </c>
      <c r="L232" s="11" t="str">
        <f>IF(K232&lt;=10, "Baixo", IF(K232&lt;=25, "Médio", "Alto"))</f>
        <v>Alto</v>
      </c>
      <c r="M232" s="25" t="str">
        <f>IF(AND(L232="Alto", J232="Sim"), "Negada", "Passa")</f>
        <v>Negada</v>
      </c>
      <c r="N232" s="25" t="str">
        <f>IF(AND(I232&gt;50000, J232="Sim"), "Negada", "Passa")</f>
        <v>Passa</v>
      </c>
      <c r="O232" s="39">
        <v>53000</v>
      </c>
      <c r="P232" s="43">
        <f t="shared" si="3"/>
        <v>0</v>
      </c>
    </row>
    <row r="233" spans="1:16">
      <c r="A233" s="10" t="s">
        <v>39</v>
      </c>
      <c r="B233" s="11" t="s">
        <v>718</v>
      </c>
      <c r="C233" s="11" t="s">
        <v>719</v>
      </c>
      <c r="D233" s="12"/>
      <c r="E233" s="13" t="s">
        <v>720</v>
      </c>
      <c r="F233" s="11" t="s">
        <v>27</v>
      </c>
      <c r="G233" s="11" t="s">
        <v>28</v>
      </c>
      <c r="H233" s="35">
        <v>8900</v>
      </c>
      <c r="I233" s="35">
        <v>75500</v>
      </c>
      <c r="J233" s="11" t="s">
        <v>35</v>
      </c>
      <c r="K233" s="14"/>
      <c r="L233" s="11" t="str">
        <f>IF(K233&lt;=10, "Baixo", IF(K233&lt;=25, "Médio", "Alto"))</f>
        <v>Baixo</v>
      </c>
      <c r="M233" s="25" t="str">
        <f>IF(AND(L233="Alto", J233="Sim"), "Negada", "Passa")</f>
        <v>Passa</v>
      </c>
      <c r="N233" s="25" t="str">
        <f>IF(AND(I233&gt;50000, J233="Sim"), "Negada", "Passa")</f>
        <v>Passa</v>
      </c>
      <c r="O233" s="39"/>
      <c r="P233" s="43">
        <f t="shared" si="3"/>
        <v>0</v>
      </c>
    </row>
    <row r="234" spans="1:16">
      <c r="A234" s="10" t="s">
        <v>39</v>
      </c>
      <c r="B234" s="11" t="s">
        <v>721</v>
      </c>
      <c r="C234" s="11" t="s">
        <v>722</v>
      </c>
      <c r="D234" s="12"/>
      <c r="E234" s="13" t="s">
        <v>723</v>
      </c>
      <c r="F234" s="11" t="s">
        <v>33</v>
      </c>
      <c r="G234" s="11" t="s">
        <v>34</v>
      </c>
      <c r="H234" s="35">
        <v>28100</v>
      </c>
      <c r="I234" s="35">
        <v>60000</v>
      </c>
      <c r="J234" s="11" t="s">
        <v>23</v>
      </c>
      <c r="K234" s="14">
        <v>44</v>
      </c>
      <c r="L234" s="11" t="str">
        <f>IF(K234&lt;=10, "Baixo", IF(K234&lt;=25, "Médio", "Alto"))</f>
        <v>Alto</v>
      </c>
      <c r="M234" s="25" t="str">
        <f>IF(AND(L234="Alto", J234="Sim"), "Negada", "Passa")</f>
        <v>Passa</v>
      </c>
      <c r="N234" s="25" t="str">
        <f>IF(AND(I234&gt;50000, J234="Sim"), "Negada", "Passa")</f>
        <v>Passa</v>
      </c>
      <c r="O234" s="39">
        <v>48000</v>
      </c>
      <c r="P234" s="43">
        <f t="shared" si="3"/>
        <v>0</v>
      </c>
    </row>
    <row r="235" spans="1:16">
      <c r="A235" s="10" t="s">
        <v>17</v>
      </c>
      <c r="B235" s="11" t="s">
        <v>724</v>
      </c>
      <c r="C235" s="11" t="s">
        <v>725</v>
      </c>
      <c r="D235" s="12">
        <v>67</v>
      </c>
      <c r="E235" s="13" t="s">
        <v>726</v>
      </c>
      <c r="F235" s="11" t="s">
        <v>233</v>
      </c>
      <c r="G235" s="11" t="s">
        <v>234</v>
      </c>
      <c r="H235" s="35">
        <v>20200</v>
      </c>
      <c r="I235" s="35">
        <v>3500</v>
      </c>
      <c r="J235" s="11" t="s">
        <v>23</v>
      </c>
      <c r="K235" s="14">
        <v>1</v>
      </c>
      <c r="L235" s="11" t="str">
        <f>IF(K235&lt;=10, "Baixo", IF(K235&lt;=25, "Médio", "Alto"))</f>
        <v>Baixo</v>
      </c>
      <c r="M235" s="25" t="str">
        <f>IF(AND(L235="Alto", J235="Sim"), "Negada", "Passa")</f>
        <v>Passa</v>
      </c>
      <c r="N235" s="25" t="str">
        <f>IF(AND(I235&gt;50000, J235="Sim"), "Negada", "Passa")</f>
        <v>Passa</v>
      </c>
      <c r="O235" s="39">
        <v>32500</v>
      </c>
      <c r="P235" s="43">
        <f t="shared" si="3"/>
        <v>35100</v>
      </c>
    </row>
    <row r="236" spans="1:16">
      <c r="A236" s="10" t="s">
        <v>17</v>
      </c>
      <c r="B236" s="11" t="s">
        <v>727</v>
      </c>
      <c r="C236" s="11" t="s">
        <v>728</v>
      </c>
      <c r="D236" s="12">
        <v>36</v>
      </c>
      <c r="E236" s="13" t="s">
        <v>729</v>
      </c>
      <c r="F236" s="11" t="s">
        <v>192</v>
      </c>
      <c r="G236" s="11" t="s">
        <v>193</v>
      </c>
      <c r="H236" s="35">
        <v>11600</v>
      </c>
      <c r="I236" s="35">
        <v>28000</v>
      </c>
      <c r="J236" s="11" t="s">
        <v>23</v>
      </c>
      <c r="K236" s="14">
        <v>34</v>
      </c>
      <c r="L236" s="11" t="str">
        <f>IF(K236&lt;=10, "Baixo", IF(K236&lt;=25, "Médio", "Alto"))</f>
        <v>Alto</v>
      </c>
      <c r="M236" s="25" t="str">
        <f>IF(AND(L236="Alto", J236="Sim"), "Negada", "Passa")</f>
        <v>Passa</v>
      </c>
      <c r="N236" s="25" t="str">
        <f>IF(AND(I236&gt;50000, J236="Sim"), "Negada", "Passa")</f>
        <v>Passa</v>
      </c>
      <c r="O236" s="39">
        <v>74000</v>
      </c>
      <c r="P236" s="43">
        <f t="shared" si="3"/>
        <v>79920</v>
      </c>
    </row>
    <row r="237" spans="1:16">
      <c r="A237" s="10" t="s">
        <v>17</v>
      </c>
      <c r="B237" s="11" t="s">
        <v>730</v>
      </c>
      <c r="C237" s="11" t="s">
        <v>731</v>
      </c>
      <c r="D237" s="12">
        <v>61</v>
      </c>
      <c r="E237" s="13" t="s">
        <v>732</v>
      </c>
      <c r="F237" s="11" t="s">
        <v>97</v>
      </c>
      <c r="G237" s="11" t="s">
        <v>56</v>
      </c>
      <c r="H237" s="35">
        <v>7000</v>
      </c>
      <c r="I237" s="35">
        <v>43000</v>
      </c>
      <c r="J237" s="11" t="s">
        <v>23</v>
      </c>
      <c r="K237" s="14">
        <v>36</v>
      </c>
      <c r="L237" s="11" t="str">
        <f>IF(K237&lt;=10, "Baixo", IF(K237&lt;=25, "Médio", "Alto"))</f>
        <v>Alto</v>
      </c>
      <c r="M237" s="25" t="str">
        <f>IF(AND(L237="Alto", J237="Sim"), "Negada", "Passa")</f>
        <v>Passa</v>
      </c>
      <c r="N237" s="25" t="str">
        <f>IF(AND(I237&gt;50000, J237="Sim"), "Negada", "Passa")</f>
        <v>Passa</v>
      </c>
      <c r="O237" s="39">
        <v>67500</v>
      </c>
      <c r="P237" s="43">
        <f t="shared" si="3"/>
        <v>72900</v>
      </c>
    </row>
    <row r="238" spans="1:16">
      <c r="A238" s="10" t="s">
        <v>17</v>
      </c>
      <c r="B238" s="11" t="s">
        <v>733</v>
      </c>
      <c r="C238" s="11" t="s">
        <v>734</v>
      </c>
      <c r="D238" s="12">
        <v>52</v>
      </c>
      <c r="E238" s="13" t="s">
        <v>735</v>
      </c>
      <c r="F238" s="15" t="s">
        <v>212</v>
      </c>
      <c r="G238" s="15" t="s">
        <v>28</v>
      </c>
      <c r="H238" s="35">
        <v>17500</v>
      </c>
      <c r="I238" s="35">
        <f>12*1000</f>
        <v>12000</v>
      </c>
      <c r="J238" s="11" t="s">
        <v>29</v>
      </c>
      <c r="K238" s="14">
        <v>27</v>
      </c>
      <c r="L238" s="11" t="str">
        <f>IF(K238&lt;=10, "Baixo", IF(K238&lt;=25, "Médio", "Alto"))</f>
        <v>Alto</v>
      </c>
      <c r="M238" s="25" t="str">
        <f>IF(AND(L238="Alto", J238="Sim"), "Negada", "Passa")</f>
        <v>Negada</v>
      </c>
      <c r="N238" s="25" t="str">
        <f>IF(AND(I238&gt;50000, J238="Sim"), "Negada", "Passa")</f>
        <v>Passa</v>
      </c>
      <c r="O238" s="39">
        <v>67500</v>
      </c>
      <c r="P238" s="43">
        <f t="shared" si="3"/>
        <v>0</v>
      </c>
    </row>
    <row r="239" spans="1:16">
      <c r="A239" s="10" t="s">
        <v>17</v>
      </c>
      <c r="B239" s="11" t="s">
        <v>736</v>
      </c>
      <c r="C239" s="11" t="s">
        <v>737</v>
      </c>
      <c r="D239" s="12">
        <v>55</v>
      </c>
      <c r="E239" s="13" t="s">
        <v>738</v>
      </c>
      <c r="F239" s="11" t="s">
        <v>233</v>
      </c>
      <c r="G239" s="11" t="s">
        <v>234</v>
      </c>
      <c r="H239" s="35">
        <v>9600</v>
      </c>
      <c r="I239" s="35">
        <v>37000</v>
      </c>
      <c r="J239" s="11" t="s">
        <v>23</v>
      </c>
      <c r="K239" s="14">
        <v>1</v>
      </c>
      <c r="L239" s="11" t="str">
        <f>IF(K239&lt;=10, "Baixo", IF(K239&lt;=25, "Médio", "Alto"))</f>
        <v>Baixo</v>
      </c>
      <c r="M239" s="25" t="str">
        <f>IF(AND(L239="Alto", J239="Sim"), "Negada", "Passa")</f>
        <v>Passa</v>
      </c>
      <c r="N239" s="25" t="str">
        <f>IF(AND(I239&gt;50000, J239="Sim"), "Negada", "Passa")</f>
        <v>Passa</v>
      </c>
      <c r="O239" s="39">
        <v>87000</v>
      </c>
      <c r="P239" s="43">
        <f t="shared" si="3"/>
        <v>93960</v>
      </c>
    </row>
    <row r="240" spans="1:16">
      <c r="A240" s="10" t="s">
        <v>17</v>
      </c>
      <c r="B240" s="11" t="s">
        <v>739</v>
      </c>
      <c r="C240" s="11" t="s">
        <v>740</v>
      </c>
      <c r="D240" s="12">
        <v>55</v>
      </c>
      <c r="E240" s="13" t="s">
        <v>741</v>
      </c>
      <c r="F240" s="11" t="s">
        <v>46</v>
      </c>
      <c r="G240" s="11" t="s">
        <v>46</v>
      </c>
      <c r="H240" s="35">
        <v>29100</v>
      </c>
      <c r="I240" s="35">
        <v>58000</v>
      </c>
      <c r="J240" s="11" t="s">
        <v>35</v>
      </c>
      <c r="K240" s="14"/>
      <c r="L240" s="11" t="str">
        <f>IF(K240&lt;=10, "Baixo", IF(K240&lt;=25, "Médio", "Alto"))</f>
        <v>Baixo</v>
      </c>
      <c r="M240" s="25" t="str">
        <f>IF(AND(L240="Alto", J240="Sim"), "Negada", "Passa")</f>
        <v>Passa</v>
      </c>
      <c r="N240" s="25" t="str">
        <f>IF(AND(I240&gt;50000, J240="Sim"), "Negada", "Passa")</f>
        <v>Passa</v>
      </c>
      <c r="O240" s="39"/>
      <c r="P240" s="43">
        <f t="shared" si="3"/>
        <v>0</v>
      </c>
    </row>
    <row r="241" spans="1:16">
      <c r="A241" s="10" t="s">
        <v>17</v>
      </c>
      <c r="B241" s="11" t="s">
        <v>742</v>
      </c>
      <c r="C241" s="11" t="s">
        <v>743</v>
      </c>
      <c r="D241" s="12">
        <v>65</v>
      </c>
      <c r="E241" s="13" t="s">
        <v>744</v>
      </c>
      <c r="F241" s="11" t="s">
        <v>60</v>
      </c>
      <c r="G241" s="11" t="s">
        <v>61</v>
      </c>
      <c r="H241" s="35">
        <v>23400</v>
      </c>
      <c r="I241" s="35"/>
      <c r="J241" s="11" t="s">
        <v>29</v>
      </c>
      <c r="K241" s="14">
        <v>31</v>
      </c>
      <c r="L241" s="11" t="str">
        <f>IF(K241&lt;=10, "Baixo", IF(K241&lt;=25, "Médio", "Alto"))</f>
        <v>Alto</v>
      </c>
      <c r="M241" s="25" t="str">
        <f>IF(AND(L241="Alto", J241="Sim"), "Negada", "Passa")</f>
        <v>Negada</v>
      </c>
      <c r="N241" s="25" t="str">
        <f>IF(AND(I241&gt;50000, J241="Sim"), "Negada", "Passa")</f>
        <v>Passa</v>
      </c>
      <c r="O241" s="39">
        <v>47500</v>
      </c>
      <c r="P241" s="43">
        <f t="shared" si="3"/>
        <v>0</v>
      </c>
    </row>
    <row r="242" spans="1:16">
      <c r="A242" s="10" t="s">
        <v>17</v>
      </c>
      <c r="B242" s="11" t="s">
        <v>745</v>
      </c>
      <c r="C242" s="11" t="s">
        <v>746</v>
      </c>
      <c r="D242" s="12">
        <v>35</v>
      </c>
      <c r="E242" s="13" t="s">
        <v>747</v>
      </c>
      <c r="F242" s="15" t="s">
        <v>92</v>
      </c>
      <c r="G242" s="11" t="s">
        <v>93</v>
      </c>
      <c r="H242" s="35">
        <v>560000</v>
      </c>
      <c r="I242" s="35"/>
      <c r="J242" s="11" t="s">
        <v>35</v>
      </c>
      <c r="K242" s="14">
        <v>41</v>
      </c>
      <c r="L242" s="11" t="str">
        <f>IF(K242&lt;=10, "Baixo", IF(K242&lt;=25, "Médio", "Alto"))</f>
        <v>Alto</v>
      </c>
      <c r="M242" s="25" t="str">
        <f>IF(AND(L242="Alto", J242="Sim"), "Negada", "Passa")</f>
        <v>Passa</v>
      </c>
      <c r="N242" s="25" t="str">
        <f>IF(AND(I242&gt;50000, J242="Sim"), "Negada", "Passa")</f>
        <v>Passa</v>
      </c>
      <c r="O242" s="39">
        <v>83500</v>
      </c>
      <c r="P242" s="43">
        <f t="shared" si="3"/>
        <v>90180</v>
      </c>
    </row>
    <row r="243" spans="1:16">
      <c r="A243" s="10" t="s">
        <v>35</v>
      </c>
      <c r="B243" s="11" t="s">
        <v>748</v>
      </c>
      <c r="C243" s="11" t="s">
        <v>749</v>
      </c>
      <c r="D243" s="12">
        <v>61</v>
      </c>
      <c r="E243" s="13" t="s">
        <v>750</v>
      </c>
      <c r="F243" s="11" t="s">
        <v>82</v>
      </c>
      <c r="G243" s="11" t="s">
        <v>22</v>
      </c>
      <c r="H243" s="35">
        <v>26300</v>
      </c>
      <c r="I243" s="35">
        <v>61000</v>
      </c>
      <c r="J243" s="11" t="s">
        <v>23</v>
      </c>
      <c r="K243" s="14">
        <v>12</v>
      </c>
      <c r="L243" s="11" t="str">
        <f>IF(K243&lt;=10, "Baixo", IF(K243&lt;=25, "Médio", "Alto"))</f>
        <v>Médio</v>
      </c>
      <c r="M243" s="25" t="str">
        <f>IF(AND(L243="Alto", J243="Sim"), "Negada", "Passa")</f>
        <v>Passa</v>
      </c>
      <c r="N243" s="25" t="str">
        <f>IF(AND(I243&gt;50000, J243="Sim"), "Negada", "Passa")</f>
        <v>Passa</v>
      </c>
      <c r="O243" s="39">
        <v>96500</v>
      </c>
      <c r="P243" s="43">
        <f t="shared" si="3"/>
        <v>0</v>
      </c>
    </row>
    <row r="244" spans="1:16">
      <c r="A244" s="10" t="s">
        <v>17</v>
      </c>
      <c r="B244" s="11" t="s">
        <v>751</v>
      </c>
      <c r="C244" s="11" t="s">
        <v>752</v>
      </c>
      <c r="D244" s="12">
        <v>35</v>
      </c>
      <c r="E244" s="13" t="s">
        <v>753</v>
      </c>
      <c r="F244" s="11" t="s">
        <v>60</v>
      </c>
      <c r="G244" s="11" t="s">
        <v>61</v>
      </c>
      <c r="H244" s="35">
        <v>2000</v>
      </c>
      <c r="I244" s="35">
        <v>80000</v>
      </c>
      <c r="J244" s="11" t="s">
        <v>23</v>
      </c>
      <c r="K244" s="14">
        <v>41</v>
      </c>
      <c r="L244" s="11" t="str">
        <f>IF(K244&lt;=10, "Baixo", IF(K244&lt;=25, "Médio", "Alto"))</f>
        <v>Alto</v>
      </c>
      <c r="M244" s="25" t="str">
        <f>IF(AND(L244="Alto", J244="Sim"), "Negada", "Passa")</f>
        <v>Passa</v>
      </c>
      <c r="N244" s="25" t="str">
        <f>IF(AND(I244&gt;50000, J244="Sim"), "Negada", "Passa")</f>
        <v>Passa</v>
      </c>
      <c r="O244" s="39">
        <v>30000</v>
      </c>
      <c r="P244" s="43">
        <f t="shared" si="3"/>
        <v>32400.000000000004</v>
      </c>
    </row>
    <row r="245" spans="1:16">
      <c r="A245" s="10" t="s">
        <v>17</v>
      </c>
      <c r="B245" s="11" t="s">
        <v>754</v>
      </c>
      <c r="C245" s="11" t="s">
        <v>755</v>
      </c>
      <c r="D245" s="12">
        <v>54</v>
      </c>
      <c r="E245" s="13" t="s">
        <v>756</v>
      </c>
      <c r="F245" s="11" t="s">
        <v>233</v>
      </c>
      <c r="G245" s="11" t="s">
        <v>234</v>
      </c>
      <c r="H245" s="35">
        <v>22100</v>
      </c>
      <c r="I245" s="35"/>
      <c r="J245" s="11" t="s">
        <v>23</v>
      </c>
      <c r="K245" s="14">
        <v>10</v>
      </c>
      <c r="L245" s="11" t="str">
        <f>IF(K245&lt;=10, "Baixo", IF(K245&lt;=25, "Médio", "Alto"))</f>
        <v>Baixo</v>
      </c>
      <c r="M245" s="25" t="str">
        <f>IF(AND(L245="Alto", J245="Sim"), "Negada", "Passa")</f>
        <v>Passa</v>
      </c>
      <c r="N245" s="25" t="str">
        <f>IF(AND(I245&gt;50000, J245="Sim"), "Negada", "Passa")</f>
        <v>Passa</v>
      </c>
      <c r="O245" s="39">
        <v>87000</v>
      </c>
      <c r="P245" s="43">
        <f t="shared" si="3"/>
        <v>93960</v>
      </c>
    </row>
    <row r="246" spans="1:16">
      <c r="A246" s="10" t="s">
        <v>17</v>
      </c>
      <c r="B246" s="11" t="s">
        <v>757</v>
      </c>
      <c r="C246" s="11" t="s">
        <v>758</v>
      </c>
      <c r="D246" s="12">
        <v>18</v>
      </c>
      <c r="E246" s="13" t="s">
        <v>759</v>
      </c>
      <c r="F246" s="11" t="s">
        <v>131</v>
      </c>
      <c r="G246" s="11" t="s">
        <v>56</v>
      </c>
      <c r="H246" s="35">
        <v>14100</v>
      </c>
      <c r="I246" s="35">
        <v>70000</v>
      </c>
      <c r="J246" s="11" t="s">
        <v>29</v>
      </c>
      <c r="K246" s="14">
        <v>34</v>
      </c>
      <c r="L246" s="11" t="str">
        <f>IF(K246&lt;=10, "Baixo", IF(K246&lt;=25, "Médio", "Alto"))</f>
        <v>Alto</v>
      </c>
      <c r="M246" s="25" t="str">
        <f>IF(AND(L246="Alto", J246="Sim"), "Negada", "Passa")</f>
        <v>Negada</v>
      </c>
      <c r="N246" s="25" t="str">
        <f>IF(AND(I246&gt;50000, J246="Sim"), "Negada", "Passa")</f>
        <v>Negada</v>
      </c>
      <c r="O246" s="39">
        <v>7500</v>
      </c>
      <c r="P246" s="43">
        <f t="shared" si="3"/>
        <v>0</v>
      </c>
    </row>
    <row r="247" spans="1:16">
      <c r="A247" s="10" t="s">
        <v>17</v>
      </c>
      <c r="B247" s="11" t="s">
        <v>760</v>
      </c>
      <c r="C247" s="11" t="s">
        <v>761</v>
      </c>
      <c r="D247" s="12">
        <v>25</v>
      </c>
      <c r="E247" s="13" t="s">
        <v>762</v>
      </c>
      <c r="F247" s="11" t="s">
        <v>131</v>
      </c>
      <c r="G247" s="11" t="s">
        <v>56</v>
      </c>
      <c r="H247" s="35">
        <v>25400</v>
      </c>
      <c r="I247" s="35"/>
      <c r="J247" s="11" t="s">
        <v>23</v>
      </c>
      <c r="K247" s="14">
        <v>10</v>
      </c>
      <c r="L247" s="11" t="str">
        <f>IF(K247&lt;=10, "Baixo", IF(K247&lt;=25, "Médio", "Alto"))</f>
        <v>Baixo</v>
      </c>
      <c r="M247" s="25" t="str">
        <f>IF(AND(L247="Alto", J247="Sim"), "Negada", "Passa")</f>
        <v>Passa</v>
      </c>
      <c r="N247" s="25" t="str">
        <f>IF(AND(I247&gt;50000, J247="Sim"), "Negada", "Passa")</f>
        <v>Passa</v>
      </c>
      <c r="O247" s="39">
        <v>31000</v>
      </c>
      <c r="P247" s="43">
        <f t="shared" si="3"/>
        <v>33480</v>
      </c>
    </row>
    <row r="248" spans="1:16">
      <c r="A248" s="10" t="s">
        <v>17</v>
      </c>
      <c r="B248" s="11" t="s">
        <v>763</v>
      </c>
      <c r="C248" s="11" t="s">
        <v>764</v>
      </c>
      <c r="D248" s="12"/>
      <c r="E248" s="13" t="s">
        <v>509</v>
      </c>
      <c r="F248" s="11" t="s">
        <v>206</v>
      </c>
      <c r="G248" s="11" t="s">
        <v>34</v>
      </c>
      <c r="H248" s="35">
        <v>9600</v>
      </c>
      <c r="I248" s="35">
        <v>37500</v>
      </c>
      <c r="J248" s="11" t="s">
        <v>23</v>
      </c>
      <c r="K248" s="14"/>
      <c r="L248" s="11" t="str">
        <f>IF(K248&lt;=10, "Baixo", IF(K248&lt;=25, "Médio", "Alto"))</f>
        <v>Baixo</v>
      </c>
      <c r="M248" s="25" t="str">
        <f>IF(AND(L248="Alto", J248="Sim"), "Negada", "Passa")</f>
        <v>Passa</v>
      </c>
      <c r="N248" s="25" t="str">
        <f>IF(AND(I248&gt;50000, J248="Sim"), "Negada", "Passa")</f>
        <v>Passa</v>
      </c>
      <c r="O248" s="39">
        <v>77000</v>
      </c>
      <c r="P248" s="43">
        <f t="shared" si="3"/>
        <v>83160</v>
      </c>
    </row>
    <row r="249" spans="1:16">
      <c r="A249" s="10" t="s">
        <v>17</v>
      </c>
      <c r="B249" s="11" t="s">
        <v>765</v>
      </c>
      <c r="C249" s="11" t="s">
        <v>766</v>
      </c>
      <c r="D249" s="12">
        <v>65</v>
      </c>
      <c r="E249" s="13" t="s">
        <v>767</v>
      </c>
      <c r="F249" s="11" t="s">
        <v>97</v>
      </c>
      <c r="G249" s="11" t="s">
        <v>56</v>
      </c>
      <c r="H249" s="35">
        <v>29000</v>
      </c>
      <c r="I249" s="35">
        <v>58500</v>
      </c>
      <c r="J249" s="11" t="s">
        <v>23</v>
      </c>
      <c r="K249" s="14">
        <v>37</v>
      </c>
      <c r="L249" s="11" t="str">
        <f>IF(K249&lt;=10, "Baixo", IF(K249&lt;=25, "Médio", "Alto"))</f>
        <v>Alto</v>
      </c>
      <c r="M249" s="25" t="str">
        <f>IF(AND(L249="Alto", J249="Sim"), "Negada", "Passa")</f>
        <v>Passa</v>
      </c>
      <c r="N249" s="25" t="str">
        <f>IF(AND(I249&gt;50000, J249="Sim"), "Negada", "Passa")</f>
        <v>Passa</v>
      </c>
      <c r="O249" s="39">
        <v>48000</v>
      </c>
      <c r="P249" s="43">
        <f t="shared" si="3"/>
        <v>51840</v>
      </c>
    </row>
    <row r="250" spans="1:16">
      <c r="A250" s="10" t="s">
        <v>17</v>
      </c>
      <c r="B250" s="11" t="s">
        <v>768</v>
      </c>
      <c r="C250" s="11" t="s">
        <v>769</v>
      </c>
      <c r="D250" s="12">
        <v>48</v>
      </c>
      <c r="E250" s="13" t="s">
        <v>770</v>
      </c>
      <c r="F250" s="11" t="s">
        <v>206</v>
      </c>
      <c r="G250" s="11" t="s">
        <v>34</v>
      </c>
      <c r="H250" s="35">
        <v>17800</v>
      </c>
      <c r="I250" s="35">
        <v>12000</v>
      </c>
      <c r="J250" s="11" t="s">
        <v>23</v>
      </c>
      <c r="K250" s="14">
        <v>6</v>
      </c>
      <c r="L250" s="11" t="str">
        <f>IF(K250&lt;=10, "Baixo", IF(K250&lt;=25, "Médio", "Alto"))</f>
        <v>Baixo</v>
      </c>
      <c r="M250" s="25" t="str">
        <f>IF(AND(L250="Alto", J250="Sim"), "Negada", "Passa")</f>
        <v>Passa</v>
      </c>
      <c r="N250" s="25" t="str">
        <f>IF(AND(I250&gt;50000, J250="Sim"), "Negada", "Passa")</f>
        <v>Passa</v>
      </c>
      <c r="O250" s="39">
        <v>11000</v>
      </c>
      <c r="P250" s="43">
        <f t="shared" si="3"/>
        <v>11880</v>
      </c>
    </row>
    <row r="251" spans="1:16">
      <c r="A251" s="10" t="s">
        <v>17</v>
      </c>
      <c r="B251" s="11" t="s">
        <v>771</v>
      </c>
      <c r="C251" s="11" t="s">
        <v>772</v>
      </c>
      <c r="D251" s="12">
        <v>73</v>
      </c>
      <c r="E251" s="13" t="s">
        <v>773</v>
      </c>
      <c r="F251" s="11" t="s">
        <v>27</v>
      </c>
      <c r="G251" s="11" t="s">
        <v>28</v>
      </c>
      <c r="H251" s="35">
        <v>23000</v>
      </c>
      <c r="I251" s="35"/>
      <c r="J251" s="11" t="s">
        <v>23</v>
      </c>
      <c r="K251" s="14">
        <v>17</v>
      </c>
      <c r="L251" s="11" t="str">
        <f>IF(K251&lt;=10, "Baixo", IF(K251&lt;=25, "Médio", "Alto"))</f>
        <v>Médio</v>
      </c>
      <c r="M251" s="25" t="str">
        <f>IF(AND(L251="Alto", J251="Sim"), "Negada", "Passa")</f>
        <v>Passa</v>
      </c>
      <c r="N251" s="25" t="str">
        <f>IF(AND(I251&gt;50000, J251="Sim"), "Negada", "Passa")</f>
        <v>Passa</v>
      </c>
      <c r="O251" s="39">
        <v>55500</v>
      </c>
      <c r="P251" s="43">
        <f t="shared" si="3"/>
        <v>59940.000000000007</v>
      </c>
    </row>
    <row r="252" spans="1:16">
      <c r="A252" s="10" t="s">
        <v>17</v>
      </c>
      <c r="B252" s="11" t="s">
        <v>771</v>
      </c>
      <c r="C252" s="11" t="s">
        <v>774</v>
      </c>
      <c r="D252" s="12">
        <v>41</v>
      </c>
      <c r="E252" s="13" t="s">
        <v>775</v>
      </c>
      <c r="F252" s="11" t="s">
        <v>55</v>
      </c>
      <c r="G252" s="11" t="s">
        <v>56</v>
      </c>
      <c r="H252" s="35">
        <v>23100</v>
      </c>
      <c r="I252" s="35"/>
      <c r="J252" s="15" t="s">
        <v>23</v>
      </c>
      <c r="K252" s="14">
        <v>42</v>
      </c>
      <c r="L252" s="11" t="str">
        <f>IF(K252&lt;=10, "Baixo", IF(K252&lt;=25, "Médio", "Alto"))</f>
        <v>Alto</v>
      </c>
      <c r="M252" s="25" t="str">
        <f>IF(AND(L252="Alto", J252="Sim"), "Negada", "Passa")</f>
        <v>Passa</v>
      </c>
      <c r="N252" s="25" t="str">
        <f>IF(AND(I252&gt;50000, J252="Sim"), "Negada", "Passa")</f>
        <v>Passa</v>
      </c>
      <c r="O252" s="39">
        <v>33000</v>
      </c>
      <c r="P252" s="43">
        <f t="shared" si="3"/>
        <v>35640</v>
      </c>
    </row>
    <row r="253" spans="1:16">
      <c r="A253" s="10" t="s">
        <v>17</v>
      </c>
      <c r="B253" s="11" t="s">
        <v>776</v>
      </c>
      <c r="C253" s="11" t="s">
        <v>777</v>
      </c>
      <c r="D253" s="12"/>
      <c r="E253" s="13" t="s">
        <v>778</v>
      </c>
      <c r="F253" s="11" t="s">
        <v>21</v>
      </c>
      <c r="G253" s="11" t="s">
        <v>22</v>
      </c>
      <c r="H253" s="35">
        <v>14300</v>
      </c>
      <c r="I253" s="35">
        <v>21000</v>
      </c>
      <c r="J253" s="11" t="s">
        <v>23</v>
      </c>
      <c r="K253" s="14">
        <v>34</v>
      </c>
      <c r="L253" s="11" t="str">
        <f>IF(K253&lt;=10, "Baixo", IF(K253&lt;=25, "Médio", "Alto"))</f>
        <v>Alto</v>
      </c>
      <c r="M253" s="25" t="str">
        <f>IF(AND(L253="Alto", J253="Sim"), "Negada", "Passa")</f>
        <v>Passa</v>
      </c>
      <c r="N253" s="25" t="str">
        <f>IF(AND(I253&gt;50000, J253="Sim"), "Negada", "Passa")</f>
        <v>Passa</v>
      </c>
      <c r="O253" s="39">
        <v>7500</v>
      </c>
      <c r="P253" s="43">
        <f t="shared" si="3"/>
        <v>8100.0000000000009</v>
      </c>
    </row>
    <row r="254" spans="1:16">
      <c r="A254" s="10" t="s">
        <v>17</v>
      </c>
      <c r="B254" s="11" t="s">
        <v>779</v>
      </c>
      <c r="C254" s="11" t="s">
        <v>780</v>
      </c>
      <c r="D254" s="12">
        <v>25</v>
      </c>
      <c r="E254" s="13" t="s">
        <v>781</v>
      </c>
      <c r="F254" s="11" t="s">
        <v>55</v>
      </c>
      <c r="G254" s="11" t="s">
        <v>56</v>
      </c>
      <c r="H254" s="35">
        <v>18300</v>
      </c>
      <c r="I254" s="35">
        <v>8000</v>
      </c>
      <c r="J254" s="11" t="s">
        <v>23</v>
      </c>
      <c r="K254" s="14">
        <v>39</v>
      </c>
      <c r="L254" s="11" t="str">
        <f>IF(K254&lt;=10, "Baixo", IF(K254&lt;=25, "Médio", "Alto"))</f>
        <v>Alto</v>
      </c>
      <c r="M254" s="25" t="str">
        <f>IF(AND(L254="Alto", J254="Sim"), "Negada", "Passa")</f>
        <v>Passa</v>
      </c>
      <c r="N254" s="25" t="str">
        <f>IF(AND(I254&gt;50000, J254="Sim"), "Negada", "Passa")</f>
        <v>Passa</v>
      </c>
      <c r="O254" s="39">
        <v>36000</v>
      </c>
      <c r="P254" s="43">
        <f t="shared" si="3"/>
        <v>38880</v>
      </c>
    </row>
    <row r="255" spans="1:16">
      <c r="A255" s="10" t="s">
        <v>39</v>
      </c>
      <c r="B255" s="11" t="s">
        <v>779</v>
      </c>
      <c r="C255" s="11" t="s">
        <v>782</v>
      </c>
      <c r="D255" s="12">
        <v>57</v>
      </c>
      <c r="E255" s="13" t="s">
        <v>783</v>
      </c>
      <c r="F255" s="11" t="s">
        <v>82</v>
      </c>
      <c r="G255" s="11" t="s">
        <v>22</v>
      </c>
      <c r="H255" s="35">
        <v>28600</v>
      </c>
      <c r="I255" s="35"/>
      <c r="J255" s="11" t="s">
        <v>35</v>
      </c>
      <c r="K255" s="14"/>
      <c r="L255" s="11" t="str">
        <f>IF(K255&lt;=10, "Baixo", IF(K255&lt;=25, "Médio", "Alto"))</f>
        <v>Baixo</v>
      </c>
      <c r="M255" s="25" t="str">
        <f>IF(AND(L255="Alto", J255="Sim"), "Negada", "Passa")</f>
        <v>Passa</v>
      </c>
      <c r="N255" s="25" t="str">
        <f>IF(AND(I255&gt;50000, J255="Sim"), "Negada", "Passa")</f>
        <v>Passa</v>
      </c>
      <c r="O255" s="39"/>
      <c r="P255" s="43">
        <f t="shared" si="3"/>
        <v>0</v>
      </c>
    </row>
    <row r="256" spans="1:16">
      <c r="A256" s="10" t="s">
        <v>39</v>
      </c>
      <c r="B256" s="11" t="s">
        <v>784</v>
      </c>
      <c r="C256" s="11" t="s">
        <v>785</v>
      </c>
      <c r="D256" s="12">
        <v>53</v>
      </c>
      <c r="E256" s="13" t="s">
        <v>786</v>
      </c>
      <c r="F256" s="11" t="s">
        <v>60</v>
      </c>
      <c r="G256" s="11" t="s">
        <v>61</v>
      </c>
      <c r="H256" s="35">
        <v>26400</v>
      </c>
      <c r="I256" s="35">
        <v>61000</v>
      </c>
      <c r="J256" s="15" t="s">
        <v>29</v>
      </c>
      <c r="K256" s="14">
        <v>9</v>
      </c>
      <c r="L256" s="11" t="str">
        <f>IF(K256&lt;=10, "Baixo", IF(K256&lt;=25, "Médio", "Alto"))</f>
        <v>Baixo</v>
      </c>
      <c r="M256" s="25" t="str">
        <f>IF(AND(L256="Alto", J256="Sim"), "Negada", "Passa")</f>
        <v>Passa</v>
      </c>
      <c r="N256" s="25" t="str">
        <f>IF(AND(I256&gt;50000, J256="Sim"), "Negada", "Passa")</f>
        <v>Negada</v>
      </c>
      <c r="O256" s="39">
        <v>88000</v>
      </c>
      <c r="P256" s="43">
        <f t="shared" si="3"/>
        <v>0</v>
      </c>
    </row>
    <row r="257" spans="1:16">
      <c r="A257" s="10" t="s">
        <v>39</v>
      </c>
      <c r="B257" s="15" t="s">
        <v>787</v>
      </c>
      <c r="C257" s="11" t="s">
        <v>788</v>
      </c>
      <c r="D257" s="12">
        <v>57</v>
      </c>
      <c r="E257" s="13" t="s">
        <v>789</v>
      </c>
      <c r="F257" s="11" t="s">
        <v>363</v>
      </c>
      <c r="G257" s="11" t="s">
        <v>28</v>
      </c>
      <c r="H257" s="35">
        <v>2630000</v>
      </c>
      <c r="I257" s="35"/>
      <c r="J257" s="11" t="s">
        <v>35</v>
      </c>
      <c r="K257" s="14"/>
      <c r="L257" s="11" t="str">
        <f>IF(K257&lt;=10, "Baixo", IF(K257&lt;=25, "Médio", "Alto"))</f>
        <v>Baixo</v>
      </c>
      <c r="M257" s="25" t="str">
        <f>IF(AND(L257="Alto", J257="Sim"), "Negada", "Passa")</f>
        <v>Passa</v>
      </c>
      <c r="N257" s="25" t="str">
        <f>IF(AND(I257&gt;50000, J257="Sim"), "Negada", "Passa")</f>
        <v>Passa</v>
      </c>
      <c r="O257" s="39"/>
      <c r="P257" s="43">
        <f t="shared" si="3"/>
        <v>0</v>
      </c>
    </row>
    <row r="258" spans="1:16">
      <c r="A258" s="10" t="s">
        <v>17</v>
      </c>
      <c r="B258" s="11" t="s">
        <v>790</v>
      </c>
      <c r="C258" s="11" t="s">
        <v>791</v>
      </c>
      <c r="D258" s="12">
        <v>57</v>
      </c>
      <c r="E258" s="13" t="s">
        <v>792</v>
      </c>
      <c r="F258" s="11" t="s">
        <v>206</v>
      </c>
      <c r="G258" s="11" t="s">
        <v>34</v>
      </c>
      <c r="H258" s="35">
        <v>20600</v>
      </c>
      <c r="I258" s="35">
        <v>1500</v>
      </c>
      <c r="J258" s="11" t="s">
        <v>23</v>
      </c>
      <c r="K258" s="14">
        <v>26</v>
      </c>
      <c r="L258" s="11" t="str">
        <f>IF(K258&lt;=10, "Baixo", IF(K258&lt;=25, "Médio", "Alto"))</f>
        <v>Alto</v>
      </c>
      <c r="M258" s="25" t="str">
        <f>IF(AND(L258="Alto", J258="Sim"), "Negada", "Passa")</f>
        <v>Passa</v>
      </c>
      <c r="N258" s="25" t="str">
        <f>IF(AND(I258&gt;50000, J258="Sim"), "Negada", "Passa")</f>
        <v>Passa</v>
      </c>
      <c r="O258" s="39">
        <v>36000</v>
      </c>
      <c r="P258" s="43">
        <f t="shared" si="3"/>
        <v>38880</v>
      </c>
    </row>
    <row r="259" spans="1:16">
      <c r="A259" s="10" t="s">
        <v>17</v>
      </c>
      <c r="B259" s="11" t="s">
        <v>793</v>
      </c>
      <c r="C259" s="11" t="s">
        <v>794</v>
      </c>
      <c r="D259" s="12">
        <v>27</v>
      </c>
      <c r="E259" s="13" t="s">
        <v>795</v>
      </c>
      <c r="F259" s="11" t="s">
        <v>319</v>
      </c>
      <c r="G259" s="11" t="s">
        <v>56</v>
      </c>
      <c r="H259" s="35">
        <v>29700</v>
      </c>
      <c r="I259" s="35"/>
      <c r="J259" s="11" t="s">
        <v>35</v>
      </c>
      <c r="K259" s="14"/>
      <c r="L259" s="11" t="str">
        <f>IF(K259&lt;=10, "Baixo", IF(K259&lt;=25, "Médio", "Alto"))</f>
        <v>Baixo</v>
      </c>
      <c r="M259" s="25" t="str">
        <f>IF(AND(L259="Alto", J259="Sim"), "Negada", "Passa")</f>
        <v>Passa</v>
      </c>
      <c r="N259" s="25" t="str">
        <f>IF(AND(I259&gt;50000, J259="Sim"), "Negada", "Passa")</f>
        <v>Passa</v>
      </c>
      <c r="O259" s="39"/>
      <c r="P259" s="43">
        <f t="shared" ref="P259:P322" si="4">IF(OR(M259="Negada", N259="Negada"), 0, IF(A259="Ativo", O259*1.08, 0))</f>
        <v>0</v>
      </c>
    </row>
    <row r="260" spans="1:16">
      <c r="A260" s="10" t="s">
        <v>17</v>
      </c>
      <c r="B260" s="11" t="s">
        <v>796</v>
      </c>
      <c r="C260" s="11" t="s">
        <v>797</v>
      </c>
      <c r="D260" s="12">
        <v>25</v>
      </c>
      <c r="E260" s="13" t="s">
        <v>798</v>
      </c>
      <c r="F260" s="11" t="s">
        <v>27</v>
      </c>
      <c r="G260" s="11" t="s">
        <v>28</v>
      </c>
      <c r="H260" s="35">
        <v>27300</v>
      </c>
      <c r="I260" s="35"/>
      <c r="J260" s="15" t="s">
        <v>23</v>
      </c>
      <c r="K260" s="14">
        <v>9</v>
      </c>
      <c r="L260" s="11" t="str">
        <f>IF(K260&lt;=10, "Baixo", IF(K260&lt;=25, "Médio", "Alto"))</f>
        <v>Baixo</v>
      </c>
      <c r="M260" s="25" t="str">
        <f>IF(AND(L260="Alto", J260="Sim"), "Negada", "Passa")</f>
        <v>Passa</v>
      </c>
      <c r="N260" s="25" t="str">
        <f>IF(AND(I260&gt;50000, J260="Sim"), "Negada", "Passa")</f>
        <v>Passa</v>
      </c>
      <c r="O260" s="39">
        <v>14500</v>
      </c>
      <c r="P260" s="43">
        <f t="shared" si="4"/>
        <v>15660.000000000002</v>
      </c>
    </row>
    <row r="261" spans="1:16">
      <c r="A261" s="10" t="s">
        <v>17</v>
      </c>
      <c r="B261" s="11" t="s">
        <v>799</v>
      </c>
      <c r="C261" s="11" t="s">
        <v>800</v>
      </c>
      <c r="D261" s="12">
        <v>67</v>
      </c>
      <c r="E261" s="13" t="s">
        <v>801</v>
      </c>
      <c r="F261" s="11" t="s">
        <v>319</v>
      </c>
      <c r="G261" s="11" t="s">
        <v>56</v>
      </c>
      <c r="H261" s="35">
        <v>8500</v>
      </c>
      <c r="I261" s="35">
        <v>40500</v>
      </c>
      <c r="J261" s="11" t="s">
        <v>23</v>
      </c>
      <c r="K261" s="14">
        <v>20</v>
      </c>
      <c r="L261" s="11" t="str">
        <f>IF(K261&lt;=10, "Baixo", IF(K261&lt;=25, "Médio", "Alto"))</f>
        <v>Médio</v>
      </c>
      <c r="M261" s="25" t="str">
        <f>IF(AND(L261="Alto", J261="Sim"), "Negada", "Passa")</f>
        <v>Passa</v>
      </c>
      <c r="N261" s="25" t="str">
        <f>IF(AND(I261&gt;50000, J261="Sim"), "Negada", "Passa")</f>
        <v>Passa</v>
      </c>
      <c r="O261" s="39">
        <v>2500</v>
      </c>
      <c r="P261" s="43">
        <f t="shared" si="4"/>
        <v>2700</v>
      </c>
    </row>
    <row r="262" spans="1:16">
      <c r="A262" s="10" t="s">
        <v>39</v>
      </c>
      <c r="B262" s="11" t="s">
        <v>802</v>
      </c>
      <c r="C262" s="11" t="s">
        <v>803</v>
      </c>
      <c r="D262" s="12">
        <v>20</v>
      </c>
      <c r="E262" s="13" t="s">
        <v>804</v>
      </c>
      <c r="F262" s="11" t="s">
        <v>50</v>
      </c>
      <c r="G262" s="11" t="s">
        <v>51</v>
      </c>
      <c r="H262" s="35">
        <v>12900</v>
      </c>
      <c r="I262" s="35">
        <v>24000</v>
      </c>
      <c r="J262" s="11" t="s">
        <v>23</v>
      </c>
      <c r="K262" s="14">
        <v>2</v>
      </c>
      <c r="L262" s="11" t="str">
        <f>IF(K262&lt;=10, "Baixo", IF(K262&lt;=25, "Médio", "Alto"))</f>
        <v>Baixo</v>
      </c>
      <c r="M262" s="25" t="str">
        <f>IF(AND(L262="Alto", J262="Sim"), "Negada", "Passa")</f>
        <v>Passa</v>
      </c>
      <c r="N262" s="25" t="str">
        <f>IF(AND(I262&gt;50000, J262="Sim"), "Negada", "Passa")</f>
        <v>Passa</v>
      </c>
      <c r="O262" s="39">
        <v>17500</v>
      </c>
      <c r="P262" s="43">
        <f t="shared" si="4"/>
        <v>0</v>
      </c>
    </row>
    <row r="263" spans="1:16">
      <c r="A263" s="10" t="s">
        <v>39</v>
      </c>
      <c r="B263" s="11" t="s">
        <v>805</v>
      </c>
      <c r="C263" s="11" t="s">
        <v>806</v>
      </c>
      <c r="D263" s="12">
        <v>55</v>
      </c>
      <c r="E263" s="13" t="s">
        <v>807</v>
      </c>
      <c r="F263" s="11" t="s">
        <v>71</v>
      </c>
      <c r="G263" s="11" t="s">
        <v>72</v>
      </c>
      <c r="H263" s="35">
        <v>21100</v>
      </c>
      <c r="I263" s="35">
        <v>64500</v>
      </c>
      <c r="J263" s="11" t="s">
        <v>29</v>
      </c>
      <c r="K263" s="14">
        <v>32</v>
      </c>
      <c r="L263" s="11" t="str">
        <f>IF(K263&lt;=10, "Baixo", IF(K263&lt;=25, "Médio", "Alto"))</f>
        <v>Alto</v>
      </c>
      <c r="M263" s="25" t="str">
        <f>IF(AND(L263="Alto", J263="Sim"), "Negada", "Passa")</f>
        <v>Negada</v>
      </c>
      <c r="N263" s="25" t="str">
        <f>IF(AND(I263&gt;50000, J263="Sim"), "Negada", "Passa")</f>
        <v>Negada</v>
      </c>
      <c r="O263" s="39">
        <v>35500</v>
      </c>
      <c r="P263" s="43">
        <f t="shared" si="4"/>
        <v>0</v>
      </c>
    </row>
    <row r="264" spans="1:16">
      <c r="A264" s="10" t="s">
        <v>17</v>
      </c>
      <c r="B264" s="11" t="s">
        <v>805</v>
      </c>
      <c r="C264" s="11" t="s">
        <v>808</v>
      </c>
      <c r="D264" s="12">
        <v>24</v>
      </c>
      <c r="E264" s="13" t="s">
        <v>35</v>
      </c>
      <c r="F264" s="11" t="s">
        <v>55</v>
      </c>
      <c r="G264" s="11" t="s">
        <v>56</v>
      </c>
      <c r="H264" s="35">
        <v>29300</v>
      </c>
      <c r="I264" s="35"/>
      <c r="J264" s="11" t="s">
        <v>35</v>
      </c>
      <c r="K264" s="14"/>
      <c r="L264" s="11" t="str">
        <f>IF(K264&lt;=10, "Baixo", IF(K264&lt;=25, "Médio", "Alto"))</f>
        <v>Baixo</v>
      </c>
      <c r="M264" s="25" t="str">
        <f>IF(AND(L264="Alto", J264="Sim"), "Negada", "Passa")</f>
        <v>Passa</v>
      </c>
      <c r="N264" s="25" t="str">
        <f>IF(AND(I264&gt;50000, J264="Sim"), "Negada", "Passa")</f>
        <v>Passa</v>
      </c>
      <c r="O264" s="39"/>
      <c r="P264" s="43">
        <f t="shared" si="4"/>
        <v>0</v>
      </c>
    </row>
    <row r="265" spans="1:16">
      <c r="A265" s="10" t="s">
        <v>39</v>
      </c>
      <c r="B265" s="11" t="s">
        <v>809</v>
      </c>
      <c r="C265" s="11" t="s">
        <v>810</v>
      </c>
      <c r="D265" s="12"/>
      <c r="E265" s="13" t="s">
        <v>811</v>
      </c>
      <c r="F265" s="11" t="s">
        <v>46</v>
      </c>
      <c r="G265" s="11" t="s">
        <v>46</v>
      </c>
      <c r="H265" s="35">
        <v>21000</v>
      </c>
      <c r="I265" s="35">
        <v>1000</v>
      </c>
      <c r="J265" s="11" t="s">
        <v>29</v>
      </c>
      <c r="K265" s="14">
        <v>24</v>
      </c>
      <c r="L265" s="11" t="str">
        <f>IF(K265&lt;=10, "Baixo", IF(K265&lt;=25, "Médio", "Alto"))</f>
        <v>Médio</v>
      </c>
      <c r="M265" s="25" t="str">
        <f>IF(AND(L265="Alto", J265="Sim"), "Negada", "Passa")</f>
        <v>Passa</v>
      </c>
      <c r="N265" s="25" t="str">
        <f>IF(AND(I265&gt;50000, J265="Sim"), "Negada", "Passa")</f>
        <v>Passa</v>
      </c>
      <c r="O265" s="39">
        <v>61500</v>
      </c>
      <c r="P265" s="43">
        <f t="shared" si="4"/>
        <v>0</v>
      </c>
    </row>
    <row r="266" spans="1:16">
      <c r="A266" s="10" t="s">
        <v>17</v>
      </c>
      <c r="B266" s="11" t="s">
        <v>812</v>
      </c>
      <c r="C266" s="11" t="s">
        <v>813</v>
      </c>
      <c r="D266" s="12">
        <v>34</v>
      </c>
      <c r="E266" s="13" t="s">
        <v>814</v>
      </c>
      <c r="F266" s="11" t="s">
        <v>319</v>
      </c>
      <c r="G266" s="11" t="s">
        <v>56</v>
      </c>
      <c r="H266" s="35">
        <v>28000</v>
      </c>
      <c r="I266" s="35"/>
      <c r="J266" s="11" t="s">
        <v>35</v>
      </c>
      <c r="K266" s="14"/>
      <c r="L266" s="11" t="str">
        <f>IF(K266&lt;=10, "Baixo", IF(K266&lt;=25, "Médio", "Alto"))</f>
        <v>Baixo</v>
      </c>
      <c r="M266" s="25" t="str">
        <f>IF(AND(L266="Alto", J266="Sim"), "Negada", "Passa")</f>
        <v>Passa</v>
      </c>
      <c r="N266" s="25" t="str">
        <f>IF(AND(I266&gt;50000, J266="Sim"), "Negada", "Passa")</f>
        <v>Passa</v>
      </c>
      <c r="O266" s="39"/>
      <c r="P266" s="43">
        <f t="shared" si="4"/>
        <v>0</v>
      </c>
    </row>
    <row r="267" spans="1:16">
      <c r="A267" s="10" t="s">
        <v>17</v>
      </c>
      <c r="B267" s="11" t="s">
        <v>815</v>
      </c>
      <c r="C267" s="11" t="s">
        <v>816</v>
      </c>
      <c r="D267" s="12">
        <v>57</v>
      </c>
      <c r="E267" s="13" t="s">
        <v>817</v>
      </c>
      <c r="F267" s="11" t="s">
        <v>128</v>
      </c>
      <c r="G267" s="11" t="s">
        <v>28</v>
      </c>
      <c r="H267" s="35">
        <v>20700</v>
      </c>
      <c r="I267" s="35">
        <v>64500</v>
      </c>
      <c r="J267" s="11" t="s">
        <v>35</v>
      </c>
      <c r="K267" s="14"/>
      <c r="L267" s="11" t="str">
        <f>IF(K267&lt;=10, "Baixo", IF(K267&lt;=25, "Médio", "Alto"))</f>
        <v>Baixo</v>
      </c>
      <c r="M267" s="25" t="str">
        <f>IF(AND(L267="Alto", J267="Sim"), "Negada", "Passa")</f>
        <v>Passa</v>
      </c>
      <c r="N267" s="25" t="str">
        <f>IF(AND(I267&gt;50000, J267="Sim"), "Negada", "Passa")</f>
        <v>Passa</v>
      </c>
      <c r="O267" s="39"/>
      <c r="P267" s="43">
        <f t="shared" si="4"/>
        <v>0</v>
      </c>
    </row>
    <row r="268" spans="1:16">
      <c r="A268" s="10" t="s">
        <v>39</v>
      </c>
      <c r="B268" s="11" t="s">
        <v>818</v>
      </c>
      <c r="C268" s="11" t="s">
        <v>819</v>
      </c>
      <c r="D268" s="12">
        <v>66</v>
      </c>
      <c r="E268" s="13" t="s">
        <v>820</v>
      </c>
      <c r="F268" s="11" t="s">
        <v>135</v>
      </c>
      <c r="G268" s="11" t="s">
        <v>93</v>
      </c>
      <c r="H268" s="35">
        <v>3400</v>
      </c>
      <c r="I268" s="35">
        <v>52500</v>
      </c>
      <c r="J268" s="11" t="s">
        <v>35</v>
      </c>
      <c r="K268" s="14">
        <v>16</v>
      </c>
      <c r="L268" s="11" t="str">
        <f>IF(K268&lt;=10, "Baixo", IF(K268&lt;=25, "Médio", "Alto"))</f>
        <v>Médio</v>
      </c>
      <c r="M268" s="25" t="str">
        <f>IF(AND(L268="Alto", J268="Sim"), "Negada", "Passa")</f>
        <v>Passa</v>
      </c>
      <c r="N268" s="25" t="str">
        <f>IF(AND(I268&gt;50000, J268="Sim"), "Negada", "Passa")</f>
        <v>Passa</v>
      </c>
      <c r="O268" s="39">
        <v>97000</v>
      </c>
      <c r="P268" s="43">
        <f t="shared" si="4"/>
        <v>0</v>
      </c>
    </row>
    <row r="269" spans="1:16">
      <c r="A269" s="10" t="s">
        <v>17</v>
      </c>
      <c r="B269" s="11" t="s">
        <v>821</v>
      </c>
      <c r="C269" s="11" t="s">
        <v>822</v>
      </c>
      <c r="D269" s="12">
        <v>18</v>
      </c>
      <c r="E269" s="13" t="s">
        <v>823</v>
      </c>
      <c r="F269" s="11" t="s">
        <v>128</v>
      </c>
      <c r="G269" s="11" t="s">
        <v>28</v>
      </c>
      <c r="H269" s="35">
        <v>28900</v>
      </c>
      <c r="I269" s="35"/>
      <c r="J269" s="11" t="s">
        <v>35</v>
      </c>
      <c r="K269" s="14"/>
      <c r="L269" s="11" t="str">
        <f>IF(K269&lt;=10, "Baixo", IF(K269&lt;=25, "Médio", "Alto"))</f>
        <v>Baixo</v>
      </c>
      <c r="M269" s="25" t="str">
        <f>IF(AND(L269="Alto", J269="Sim"), "Negada", "Passa")</f>
        <v>Passa</v>
      </c>
      <c r="N269" s="25" t="str">
        <f>IF(AND(I269&gt;50000, J269="Sim"), "Negada", "Passa")</f>
        <v>Passa</v>
      </c>
      <c r="O269" s="39"/>
      <c r="P269" s="43">
        <f t="shared" si="4"/>
        <v>0</v>
      </c>
    </row>
    <row r="270" spans="1:16">
      <c r="A270" s="10" t="s">
        <v>17</v>
      </c>
      <c r="B270" s="11" t="s">
        <v>824</v>
      </c>
      <c r="C270" s="11" t="s">
        <v>825</v>
      </c>
      <c r="D270" s="12">
        <v>44</v>
      </c>
      <c r="E270" s="13" t="s">
        <v>826</v>
      </c>
      <c r="F270" s="11" t="s">
        <v>82</v>
      </c>
      <c r="G270" s="11" t="s">
        <v>22</v>
      </c>
      <c r="H270" s="35">
        <v>9600</v>
      </c>
      <c r="I270" s="35">
        <v>37000</v>
      </c>
      <c r="J270" s="11" t="s">
        <v>23</v>
      </c>
      <c r="K270" s="14">
        <v>34</v>
      </c>
      <c r="L270" s="11" t="str">
        <f>IF(K270&lt;=10, "Baixo", IF(K270&lt;=25, "Médio", "Alto"))</f>
        <v>Alto</v>
      </c>
      <c r="M270" s="25" t="str">
        <f>IF(AND(L270="Alto", J270="Sim"), "Negada", "Passa")</f>
        <v>Passa</v>
      </c>
      <c r="N270" s="25" t="str">
        <f>IF(AND(I270&gt;50000, J270="Sim"), "Negada", "Passa")</f>
        <v>Passa</v>
      </c>
      <c r="O270" s="39">
        <v>87000</v>
      </c>
      <c r="P270" s="43">
        <f t="shared" si="4"/>
        <v>93960</v>
      </c>
    </row>
    <row r="271" spans="1:16">
      <c r="A271" s="10" t="s">
        <v>39</v>
      </c>
      <c r="B271" s="11" t="s">
        <v>827</v>
      </c>
      <c r="C271" s="11" t="s">
        <v>828</v>
      </c>
      <c r="D271" s="12">
        <v>27</v>
      </c>
      <c r="E271" s="13" t="s">
        <v>829</v>
      </c>
      <c r="F271" s="11" t="s">
        <v>319</v>
      </c>
      <c r="G271" s="11" t="s">
        <v>56</v>
      </c>
      <c r="H271" s="35">
        <v>25900</v>
      </c>
      <c r="I271" s="35">
        <v>61500</v>
      </c>
      <c r="J271" s="11" t="s">
        <v>23</v>
      </c>
      <c r="K271" s="14">
        <v>1</v>
      </c>
      <c r="L271" s="11" t="str">
        <f>IF(K271&lt;=10, "Baixo", IF(K271&lt;=25, "Médio", "Alto"))</f>
        <v>Baixo</v>
      </c>
      <c r="M271" s="25" t="str">
        <f>IF(AND(L271="Alto", J271="Sim"), "Negada", "Passa")</f>
        <v>Passa</v>
      </c>
      <c r="N271" s="25" t="str">
        <f>IF(AND(I271&gt;50000, J271="Sim"), "Negada", "Passa")</f>
        <v>Passa</v>
      </c>
      <c r="O271" s="39">
        <v>50500</v>
      </c>
      <c r="P271" s="43">
        <f t="shared" si="4"/>
        <v>0</v>
      </c>
    </row>
    <row r="272" spans="1:16">
      <c r="A272" s="10" t="s">
        <v>17</v>
      </c>
      <c r="B272" s="11" t="s">
        <v>830</v>
      </c>
      <c r="C272" s="11" t="s">
        <v>831</v>
      </c>
      <c r="D272" s="12">
        <v>35</v>
      </c>
      <c r="E272" s="13" t="s">
        <v>832</v>
      </c>
      <c r="F272" s="11" t="s">
        <v>33</v>
      </c>
      <c r="G272" s="11" t="s">
        <v>34</v>
      </c>
      <c r="H272" s="35">
        <v>28500</v>
      </c>
      <c r="I272" s="35"/>
      <c r="J272" s="11" t="s">
        <v>35</v>
      </c>
      <c r="K272" s="14">
        <v>8</v>
      </c>
      <c r="L272" s="11" t="str">
        <f>IF(K272&lt;=10, "Baixo", IF(K272&lt;=25, "Médio", "Alto"))</f>
        <v>Baixo</v>
      </c>
      <c r="M272" s="25" t="str">
        <f>IF(AND(L272="Alto", J272="Sim"), "Negada", "Passa")</f>
        <v>Passa</v>
      </c>
      <c r="N272" s="25" t="str">
        <f>IF(AND(I272&gt;50000, J272="Sim"), "Negada", "Passa")</f>
        <v>Passa</v>
      </c>
      <c r="O272" s="39">
        <v>33000</v>
      </c>
      <c r="P272" s="43">
        <f t="shared" si="4"/>
        <v>35640</v>
      </c>
    </row>
    <row r="273" spans="1:16">
      <c r="A273" s="10" t="s">
        <v>17</v>
      </c>
      <c r="B273" s="11" t="s">
        <v>833</v>
      </c>
      <c r="C273" s="11" t="s">
        <v>834</v>
      </c>
      <c r="D273" s="12">
        <v>30</v>
      </c>
      <c r="E273" s="13" t="s">
        <v>835</v>
      </c>
      <c r="F273" s="11" t="s">
        <v>233</v>
      </c>
      <c r="G273" s="11" t="s">
        <v>234</v>
      </c>
      <c r="H273" s="35">
        <v>2600</v>
      </c>
      <c r="I273" s="35">
        <v>54500</v>
      </c>
      <c r="J273" s="11" t="s">
        <v>23</v>
      </c>
      <c r="K273" s="14">
        <v>34</v>
      </c>
      <c r="L273" s="11" t="str">
        <f>IF(K273&lt;=10, "Baixo", IF(K273&lt;=25, "Médio", "Alto"))</f>
        <v>Alto</v>
      </c>
      <c r="M273" s="25" t="str">
        <f>IF(AND(L273="Alto", J273="Sim"), "Negada", "Passa")</f>
        <v>Passa</v>
      </c>
      <c r="N273" s="25" t="str">
        <f>IF(AND(I273&gt;50000, J273="Sim"), "Negada", "Passa")</f>
        <v>Passa</v>
      </c>
      <c r="O273" s="39">
        <v>72000</v>
      </c>
      <c r="P273" s="43">
        <f t="shared" si="4"/>
        <v>77760</v>
      </c>
    </row>
    <row r="274" spans="1:16">
      <c r="A274" s="10" t="s">
        <v>17</v>
      </c>
      <c r="B274" s="11" t="s">
        <v>836</v>
      </c>
      <c r="C274" s="11" t="s">
        <v>837</v>
      </c>
      <c r="D274" s="12">
        <v>24</v>
      </c>
      <c r="E274" s="13" t="s">
        <v>838</v>
      </c>
      <c r="F274" s="11" t="s">
        <v>27</v>
      </c>
      <c r="G274" s="11" t="s">
        <v>28</v>
      </c>
      <c r="H274" s="35">
        <v>6400</v>
      </c>
      <c r="I274" s="35">
        <v>78000</v>
      </c>
      <c r="J274" s="11" t="s">
        <v>29</v>
      </c>
      <c r="K274" s="14">
        <v>14</v>
      </c>
      <c r="L274" s="11" t="str">
        <f>IF(K274&lt;=10, "Baixo", IF(K274&lt;=25, "Médio", "Alto"))</f>
        <v>Médio</v>
      </c>
      <c r="M274" s="25" t="str">
        <f>IF(AND(L274="Alto", J274="Sim"), "Negada", "Passa")</f>
        <v>Passa</v>
      </c>
      <c r="N274" s="25" t="str">
        <f>IF(AND(I274&gt;50000, J274="Sim"), "Negada", "Passa")</f>
        <v>Negada</v>
      </c>
      <c r="O274" s="39">
        <v>27000</v>
      </c>
      <c r="P274" s="43">
        <f t="shared" si="4"/>
        <v>0</v>
      </c>
    </row>
    <row r="275" spans="1:16">
      <c r="A275" s="10" t="s">
        <v>17</v>
      </c>
      <c r="B275" s="11" t="s">
        <v>839</v>
      </c>
      <c r="C275" s="11" t="s">
        <v>840</v>
      </c>
      <c r="D275" s="12">
        <v>64</v>
      </c>
      <c r="E275" s="13" t="s">
        <v>841</v>
      </c>
      <c r="F275" s="11" t="s">
        <v>131</v>
      </c>
      <c r="G275" s="11" t="s">
        <v>56</v>
      </c>
      <c r="H275" s="35">
        <v>12700</v>
      </c>
      <c r="I275" s="35">
        <v>25000</v>
      </c>
      <c r="J275" s="11" t="s">
        <v>35</v>
      </c>
      <c r="K275" s="14"/>
      <c r="L275" s="11" t="str">
        <f>IF(K275&lt;=10, "Baixo", IF(K275&lt;=25, "Médio", "Alto"))</f>
        <v>Baixo</v>
      </c>
      <c r="M275" s="25" t="str">
        <f>IF(AND(L275="Alto", J275="Sim"), "Negada", "Passa")</f>
        <v>Passa</v>
      </c>
      <c r="N275" s="25" t="str">
        <f>IF(AND(I275&gt;50000, J275="Sim"), "Negada", "Passa")</f>
        <v>Passa</v>
      </c>
      <c r="O275" s="39"/>
      <c r="P275" s="43">
        <f t="shared" si="4"/>
        <v>0</v>
      </c>
    </row>
    <row r="276" spans="1:16">
      <c r="A276" s="10" t="s">
        <v>17</v>
      </c>
      <c r="B276" s="11" t="s">
        <v>842</v>
      </c>
      <c r="C276" s="11" t="s">
        <v>843</v>
      </c>
      <c r="D276" s="12">
        <v>60</v>
      </c>
      <c r="E276" s="13" t="s">
        <v>844</v>
      </c>
      <c r="F276" s="11" t="s">
        <v>363</v>
      </c>
      <c r="G276" s="11" t="s">
        <v>28</v>
      </c>
      <c r="H276" s="35">
        <v>17300</v>
      </c>
      <c r="I276" s="35">
        <v>14500</v>
      </c>
      <c r="J276" s="11" t="s">
        <v>23</v>
      </c>
      <c r="K276" s="14">
        <v>4</v>
      </c>
      <c r="L276" s="11" t="str">
        <f>IF(K276&lt;=10, "Baixo", IF(K276&lt;=25, "Médio", "Alto"))</f>
        <v>Baixo</v>
      </c>
      <c r="M276" s="25" t="str">
        <f>IF(AND(L276="Alto", J276="Sim"), "Negada", "Passa")</f>
        <v>Passa</v>
      </c>
      <c r="N276" s="25" t="str">
        <f>IF(AND(I276&gt;50000, J276="Sim"), "Negada", "Passa")</f>
        <v>Passa</v>
      </c>
      <c r="O276" s="39">
        <v>21000</v>
      </c>
      <c r="P276" s="43">
        <f t="shared" si="4"/>
        <v>22680</v>
      </c>
    </row>
    <row r="277" spans="1:16">
      <c r="A277" s="10" t="s">
        <v>39</v>
      </c>
      <c r="B277" s="11" t="s">
        <v>845</v>
      </c>
      <c r="C277" s="11" t="s">
        <v>846</v>
      </c>
      <c r="D277" s="12">
        <v>33</v>
      </c>
      <c r="E277" s="13" t="s">
        <v>847</v>
      </c>
      <c r="F277" s="11" t="s">
        <v>21</v>
      </c>
      <c r="G277" s="11" t="s">
        <v>22</v>
      </c>
      <c r="H277" s="35">
        <v>23600</v>
      </c>
      <c r="I277" s="35"/>
      <c r="J277" s="11" t="s">
        <v>29</v>
      </c>
      <c r="K277" s="14">
        <v>3</v>
      </c>
      <c r="L277" s="11" t="str">
        <f>IF(K277&lt;=10, "Baixo", IF(K277&lt;=25, "Médio", "Alto"))</f>
        <v>Baixo</v>
      </c>
      <c r="M277" s="25" t="str">
        <f>IF(AND(L277="Alto", J277="Sim"), "Negada", "Passa")</f>
        <v>Passa</v>
      </c>
      <c r="N277" s="25" t="str">
        <f>IF(AND(I277&gt;50000, J277="Sim"), "Negada", "Passa")</f>
        <v>Passa</v>
      </c>
      <c r="O277" s="39">
        <v>7000</v>
      </c>
      <c r="P277" s="43">
        <f t="shared" si="4"/>
        <v>0</v>
      </c>
    </row>
    <row r="278" spans="1:16">
      <c r="A278" s="10" t="s">
        <v>17</v>
      </c>
      <c r="B278" s="11" t="s">
        <v>848</v>
      </c>
      <c r="C278" s="11" t="s">
        <v>849</v>
      </c>
      <c r="D278" s="12">
        <v>26</v>
      </c>
      <c r="E278" s="13" t="s">
        <v>850</v>
      </c>
      <c r="F278" s="11" t="s">
        <v>97</v>
      </c>
      <c r="G278" s="11" t="s">
        <v>56</v>
      </c>
      <c r="H278" s="35">
        <v>3500</v>
      </c>
      <c r="I278" s="35">
        <v>52000</v>
      </c>
      <c r="J278" s="11" t="s">
        <v>35</v>
      </c>
      <c r="K278" s="14"/>
      <c r="L278" s="11" t="str">
        <f>IF(K278&lt;=10, "Baixo", IF(K278&lt;=25, "Médio", "Alto"))</f>
        <v>Baixo</v>
      </c>
      <c r="M278" s="25" t="str">
        <f>IF(AND(L278="Alto", J278="Sim"), "Negada", "Passa")</f>
        <v>Passa</v>
      </c>
      <c r="N278" s="25" t="str">
        <f>IF(AND(I278&gt;50000, J278="Sim"), "Negada", "Passa")</f>
        <v>Passa</v>
      </c>
      <c r="O278" s="39"/>
      <c r="P278" s="43">
        <f t="shared" si="4"/>
        <v>0</v>
      </c>
    </row>
    <row r="279" spans="1:16">
      <c r="A279" s="10" t="s">
        <v>17</v>
      </c>
      <c r="B279" s="11" t="s">
        <v>851</v>
      </c>
      <c r="C279" s="11" t="s">
        <v>852</v>
      </c>
      <c r="D279" s="12">
        <v>51</v>
      </c>
      <c r="E279" s="13" t="s">
        <v>853</v>
      </c>
      <c r="F279" s="11" t="s">
        <v>131</v>
      </c>
      <c r="G279" s="11" t="s">
        <v>56</v>
      </c>
      <c r="H279" s="35">
        <v>18500</v>
      </c>
      <c r="I279" s="35">
        <v>6500</v>
      </c>
      <c r="J279" s="11" t="s">
        <v>23</v>
      </c>
      <c r="K279" s="14">
        <v>42</v>
      </c>
      <c r="L279" s="11" t="str">
        <f>IF(K279&lt;=10, "Baixo", IF(K279&lt;=25, "Médio", "Alto"))</f>
        <v>Alto</v>
      </c>
      <c r="M279" s="25" t="str">
        <f>IF(AND(L279="Alto", J279="Sim"), "Negada", "Passa")</f>
        <v>Passa</v>
      </c>
      <c r="N279" s="25" t="str">
        <f>IF(AND(I279&gt;50000, J279="Sim"), "Negada", "Passa")</f>
        <v>Passa</v>
      </c>
      <c r="O279" s="39">
        <v>96000</v>
      </c>
      <c r="P279" s="43">
        <f t="shared" si="4"/>
        <v>103680</v>
      </c>
    </row>
    <row r="280" spans="1:16">
      <c r="A280" s="10" t="s">
        <v>17</v>
      </c>
      <c r="B280" s="11" t="s">
        <v>854</v>
      </c>
      <c r="C280" s="11" t="s">
        <v>855</v>
      </c>
      <c r="D280" s="12">
        <v>19</v>
      </c>
      <c r="E280" s="13" t="s">
        <v>856</v>
      </c>
      <c r="F280" s="11" t="s">
        <v>128</v>
      </c>
      <c r="G280" s="11" t="s">
        <v>28</v>
      </c>
      <c r="H280" s="35">
        <v>18000</v>
      </c>
      <c r="I280" s="35">
        <v>9000</v>
      </c>
      <c r="J280" s="11" t="s">
        <v>35</v>
      </c>
      <c r="K280" s="14"/>
      <c r="L280" s="11" t="str">
        <f>IF(K280&lt;=10, "Baixo", IF(K280&lt;=25, "Médio", "Alto"))</f>
        <v>Baixo</v>
      </c>
      <c r="M280" s="25" t="str">
        <f>IF(AND(L280="Alto", J280="Sim"), "Negada", "Passa")</f>
        <v>Passa</v>
      </c>
      <c r="N280" s="25" t="str">
        <f>IF(AND(I280&gt;50000, J280="Sim"), "Negada", "Passa")</f>
        <v>Passa</v>
      </c>
      <c r="O280" s="39"/>
      <c r="P280" s="43">
        <f t="shared" si="4"/>
        <v>0</v>
      </c>
    </row>
    <row r="281" spans="1:16">
      <c r="A281" s="10" t="s">
        <v>17</v>
      </c>
      <c r="B281" s="11" t="s">
        <v>857</v>
      </c>
      <c r="C281" s="11" t="s">
        <v>858</v>
      </c>
      <c r="D281" s="12">
        <v>24</v>
      </c>
      <c r="E281" s="13" t="s">
        <v>859</v>
      </c>
      <c r="F281" s="11" t="s">
        <v>192</v>
      </c>
      <c r="G281" s="11" t="s">
        <v>193</v>
      </c>
      <c r="H281" s="35">
        <v>6100</v>
      </c>
      <c r="I281" s="35">
        <v>47000</v>
      </c>
      <c r="J281" s="11" t="s">
        <v>23</v>
      </c>
      <c r="K281" s="14">
        <v>19</v>
      </c>
      <c r="L281" s="11" t="str">
        <f>IF(K281&lt;=10, "Baixo", IF(K281&lt;=25, "Médio", "Alto"))</f>
        <v>Médio</v>
      </c>
      <c r="M281" s="25" t="str">
        <f>IF(AND(L281="Alto", J281="Sim"), "Negada", "Passa")</f>
        <v>Passa</v>
      </c>
      <c r="N281" s="25" t="str">
        <f>IF(AND(I281&gt;50000, J281="Sim"), "Negada", "Passa")</f>
        <v>Passa</v>
      </c>
      <c r="O281" s="39">
        <v>20500</v>
      </c>
      <c r="P281" s="43">
        <f t="shared" si="4"/>
        <v>22140</v>
      </c>
    </row>
    <row r="282" spans="1:16">
      <c r="A282" s="10" t="s">
        <v>17</v>
      </c>
      <c r="B282" s="11" t="s">
        <v>860</v>
      </c>
      <c r="C282" s="11" t="s">
        <v>861</v>
      </c>
      <c r="D282" s="12">
        <v>60</v>
      </c>
      <c r="E282" s="13" t="s">
        <v>862</v>
      </c>
      <c r="F282" s="11" t="s">
        <v>50</v>
      </c>
      <c r="G282" s="11" t="s">
        <v>51</v>
      </c>
      <c r="H282" s="35">
        <v>5500</v>
      </c>
      <c r="I282" s="35">
        <v>78000</v>
      </c>
      <c r="J282" s="11" t="s">
        <v>23</v>
      </c>
      <c r="K282" s="14">
        <v>28</v>
      </c>
      <c r="L282" s="11" t="str">
        <f>IF(K282&lt;=10, "Baixo", IF(K282&lt;=25, "Médio", "Alto"))</f>
        <v>Alto</v>
      </c>
      <c r="M282" s="25" t="str">
        <f>IF(AND(L282="Alto", J282="Sim"), "Negada", "Passa")</f>
        <v>Passa</v>
      </c>
      <c r="N282" s="25" t="str">
        <f>IF(AND(I282&gt;50000, J282="Sim"), "Negada", "Passa")</f>
        <v>Passa</v>
      </c>
      <c r="O282" s="39">
        <v>74500</v>
      </c>
      <c r="P282" s="43">
        <f t="shared" si="4"/>
        <v>80460</v>
      </c>
    </row>
    <row r="283" spans="1:16">
      <c r="A283" s="10" t="s">
        <v>17</v>
      </c>
      <c r="B283" s="11" t="s">
        <v>863</v>
      </c>
      <c r="C283" s="11" t="s">
        <v>864</v>
      </c>
      <c r="D283" s="12">
        <v>35</v>
      </c>
      <c r="E283" s="13" t="s">
        <v>865</v>
      </c>
      <c r="F283" s="15" t="s">
        <v>233</v>
      </c>
      <c r="G283" s="11" t="s">
        <v>234</v>
      </c>
      <c r="H283" s="35">
        <v>9700</v>
      </c>
      <c r="I283" s="35">
        <v>37000</v>
      </c>
      <c r="J283" s="11" t="s">
        <v>23</v>
      </c>
      <c r="K283" s="14">
        <v>15</v>
      </c>
      <c r="L283" s="11" t="str">
        <f>IF(K283&lt;=10, "Baixo", IF(K283&lt;=25, "Médio", "Alto"))</f>
        <v>Médio</v>
      </c>
      <c r="M283" s="25" t="str">
        <f>IF(AND(L283="Alto", J283="Sim"), "Negada", "Passa")</f>
        <v>Passa</v>
      </c>
      <c r="N283" s="25" t="str">
        <f>IF(AND(I283&gt;50000, J283="Sim"), "Negada", "Passa")</f>
        <v>Passa</v>
      </c>
      <c r="O283" s="39">
        <v>41500</v>
      </c>
      <c r="P283" s="43">
        <f t="shared" si="4"/>
        <v>44820</v>
      </c>
    </row>
    <row r="284" spans="1:16">
      <c r="A284" s="10" t="s">
        <v>17</v>
      </c>
      <c r="B284" s="11" t="s">
        <v>866</v>
      </c>
      <c r="C284" s="11" t="s">
        <v>867</v>
      </c>
      <c r="D284" s="12">
        <v>26</v>
      </c>
      <c r="E284" s="13" t="s">
        <v>868</v>
      </c>
      <c r="F284" s="11" t="s">
        <v>55</v>
      </c>
      <c r="G284" s="11" t="s">
        <v>56</v>
      </c>
      <c r="H284" s="35">
        <v>4800</v>
      </c>
      <c r="I284" s="35">
        <v>49500</v>
      </c>
      <c r="J284" s="11" t="s">
        <v>23</v>
      </c>
      <c r="K284" s="14">
        <v>16</v>
      </c>
      <c r="L284" s="11" t="str">
        <f>IF(K284&lt;=10, "Baixo", IF(K284&lt;=25, "Médio", "Alto"))</f>
        <v>Médio</v>
      </c>
      <c r="M284" s="25" t="str">
        <f>IF(AND(L284="Alto", J284="Sim"), "Negada", "Passa")</f>
        <v>Passa</v>
      </c>
      <c r="N284" s="25" t="str">
        <f>IF(AND(I284&gt;50000, J284="Sim"), "Negada", "Passa")</f>
        <v>Passa</v>
      </c>
      <c r="O284" s="39">
        <v>15500</v>
      </c>
      <c r="P284" s="43">
        <f t="shared" si="4"/>
        <v>16740</v>
      </c>
    </row>
    <row r="285" spans="1:16">
      <c r="A285" s="10" t="s">
        <v>17</v>
      </c>
      <c r="B285" s="11" t="s">
        <v>866</v>
      </c>
      <c r="C285" s="11" t="s">
        <v>869</v>
      </c>
      <c r="D285" s="12">
        <v>74</v>
      </c>
      <c r="E285" s="13" t="s">
        <v>870</v>
      </c>
      <c r="F285" s="11" t="s">
        <v>55</v>
      </c>
      <c r="G285" s="11" t="s">
        <v>56</v>
      </c>
      <c r="H285" s="35">
        <v>7300</v>
      </c>
      <c r="I285" s="35">
        <v>42000</v>
      </c>
      <c r="J285" s="11" t="s">
        <v>29</v>
      </c>
      <c r="K285" s="14">
        <v>27</v>
      </c>
      <c r="L285" s="11" t="str">
        <f>IF(K285&lt;=10, "Baixo", IF(K285&lt;=25, "Médio", "Alto"))</f>
        <v>Alto</v>
      </c>
      <c r="M285" s="25" t="str">
        <f>IF(AND(L285="Alto", J285="Sim"), "Negada", "Passa")</f>
        <v>Negada</v>
      </c>
      <c r="N285" s="25" t="str">
        <f>IF(AND(I285&gt;50000, J285="Sim"), "Negada", "Passa")</f>
        <v>Passa</v>
      </c>
      <c r="O285" s="39">
        <v>40000</v>
      </c>
      <c r="P285" s="43">
        <f t="shared" si="4"/>
        <v>0</v>
      </c>
    </row>
    <row r="286" spans="1:16">
      <c r="A286" s="10" t="s">
        <v>17</v>
      </c>
      <c r="B286" s="11" t="s">
        <v>866</v>
      </c>
      <c r="C286" s="11" t="s">
        <v>871</v>
      </c>
      <c r="D286" s="12"/>
      <c r="E286" s="13" t="s">
        <v>872</v>
      </c>
      <c r="F286" s="11" t="s">
        <v>192</v>
      </c>
      <c r="G286" s="11" t="s">
        <v>193</v>
      </c>
      <c r="H286" s="35">
        <v>24000</v>
      </c>
      <c r="I286" s="35"/>
      <c r="J286" s="11" t="s">
        <v>29</v>
      </c>
      <c r="K286" s="14">
        <v>29</v>
      </c>
      <c r="L286" s="11" t="str">
        <f>IF(K286&lt;=10, "Baixo", IF(K286&lt;=25, "Médio", "Alto"))</f>
        <v>Alto</v>
      </c>
      <c r="M286" s="25" t="str">
        <f>IF(AND(L286="Alto", J286="Sim"), "Negada", "Passa")</f>
        <v>Negada</v>
      </c>
      <c r="N286" s="25" t="str">
        <f>IF(AND(I286&gt;50000, J286="Sim"), "Negada", "Passa")</f>
        <v>Passa</v>
      </c>
      <c r="O286" s="39">
        <v>51500</v>
      </c>
      <c r="P286" s="43">
        <f t="shared" si="4"/>
        <v>0</v>
      </c>
    </row>
    <row r="287" spans="1:16">
      <c r="A287" s="10" t="s">
        <v>17</v>
      </c>
      <c r="B287" s="11" t="s">
        <v>873</v>
      </c>
      <c r="C287" s="11" t="s">
        <v>874</v>
      </c>
      <c r="D287" s="12">
        <v>53</v>
      </c>
      <c r="E287" s="13" t="s">
        <v>875</v>
      </c>
      <c r="F287" s="11" t="s">
        <v>131</v>
      </c>
      <c r="G287" s="11" t="s">
        <v>56</v>
      </c>
      <c r="H287" s="35">
        <v>27100</v>
      </c>
      <c r="I287" s="35"/>
      <c r="J287" s="11" t="s">
        <v>23</v>
      </c>
      <c r="K287" s="14">
        <v>18</v>
      </c>
      <c r="L287" s="11" t="str">
        <f>IF(K287&lt;=10, "Baixo", IF(K287&lt;=25, "Médio", "Alto"))</f>
        <v>Médio</v>
      </c>
      <c r="M287" s="25" t="str">
        <f>IF(AND(L287="Alto", J287="Sim"), "Negada", "Passa")</f>
        <v>Passa</v>
      </c>
      <c r="N287" s="25" t="str">
        <f>IF(AND(I287&gt;50000, J287="Sim"), "Negada", "Passa")</f>
        <v>Passa</v>
      </c>
      <c r="O287" s="39"/>
      <c r="P287" s="43">
        <f t="shared" si="4"/>
        <v>0</v>
      </c>
    </row>
    <row r="288" spans="1:16">
      <c r="A288" s="10" t="s">
        <v>17</v>
      </c>
      <c r="B288" s="11" t="s">
        <v>876</v>
      </c>
      <c r="C288" s="11" t="s">
        <v>877</v>
      </c>
      <c r="D288" s="12">
        <v>73</v>
      </c>
      <c r="E288" s="13" t="s">
        <v>878</v>
      </c>
      <c r="F288" s="11" t="s">
        <v>131</v>
      </c>
      <c r="G288" s="11" t="s">
        <v>56</v>
      </c>
      <c r="H288" s="35">
        <v>28600</v>
      </c>
      <c r="I288" s="35">
        <v>59000</v>
      </c>
      <c r="J288" s="15" t="s">
        <v>23</v>
      </c>
      <c r="K288" s="14">
        <v>4</v>
      </c>
      <c r="L288" s="11" t="str">
        <f>IF(K288&lt;=10, "Baixo", IF(K288&lt;=25, "Médio", "Alto"))</f>
        <v>Baixo</v>
      </c>
      <c r="M288" s="25" t="str">
        <f>IF(AND(L288="Alto", J288="Sim"), "Negada", "Passa")</f>
        <v>Passa</v>
      </c>
      <c r="N288" s="25" t="str">
        <f>IF(AND(I288&gt;50000, J288="Sim"), "Negada", "Passa")</f>
        <v>Passa</v>
      </c>
      <c r="O288" s="39">
        <v>73500</v>
      </c>
      <c r="P288" s="43">
        <f t="shared" si="4"/>
        <v>79380</v>
      </c>
    </row>
    <row r="289" spans="1:16">
      <c r="A289" s="10" t="s">
        <v>17</v>
      </c>
      <c r="B289" s="11" t="s">
        <v>879</v>
      </c>
      <c r="C289" s="11" t="s">
        <v>880</v>
      </c>
      <c r="D289" s="12">
        <v>19</v>
      </c>
      <c r="E289" s="13" t="s">
        <v>881</v>
      </c>
      <c r="F289" s="11" t="s">
        <v>97</v>
      </c>
      <c r="G289" s="11" t="s">
        <v>56</v>
      </c>
      <c r="H289" s="35">
        <v>4000</v>
      </c>
      <c r="I289" s="35">
        <v>50500</v>
      </c>
      <c r="J289" s="11" t="s">
        <v>271</v>
      </c>
      <c r="K289" s="14">
        <v>11</v>
      </c>
      <c r="L289" s="11" t="str">
        <f>IF(K289&lt;=10, "Baixo", IF(K289&lt;=25, "Médio", "Alto"))</f>
        <v>Médio</v>
      </c>
      <c r="M289" s="25" t="str">
        <f>IF(AND(L289="Alto", J289="Sim"), "Negada", "Passa")</f>
        <v>Passa</v>
      </c>
      <c r="N289" s="25" t="str">
        <f>IF(AND(I289&gt;50000, J289="Sim"), "Negada", "Passa")</f>
        <v>Negada</v>
      </c>
      <c r="O289" s="39">
        <v>26000</v>
      </c>
      <c r="P289" s="43">
        <f t="shared" si="4"/>
        <v>0</v>
      </c>
    </row>
    <row r="290" spans="1:16">
      <c r="A290" s="10" t="s">
        <v>17</v>
      </c>
      <c r="B290" s="15" t="s">
        <v>882</v>
      </c>
      <c r="C290" s="11" t="s">
        <v>883</v>
      </c>
      <c r="D290" s="12">
        <v>28</v>
      </c>
      <c r="E290" s="13" t="s">
        <v>884</v>
      </c>
      <c r="F290" s="11" t="s">
        <v>206</v>
      </c>
      <c r="G290" s="11" t="s">
        <v>34</v>
      </c>
      <c r="H290" s="35">
        <v>14600</v>
      </c>
      <c r="I290" s="35">
        <v>18500</v>
      </c>
      <c r="J290" s="11" t="s">
        <v>271</v>
      </c>
      <c r="K290" s="14">
        <v>22</v>
      </c>
      <c r="L290" s="11" t="str">
        <f>IF(K290&lt;=10, "Baixo", IF(K290&lt;=25, "Médio", "Alto"))</f>
        <v>Médio</v>
      </c>
      <c r="M290" s="25" t="str">
        <f>IF(AND(L290="Alto", J290="Sim"), "Negada", "Passa")</f>
        <v>Passa</v>
      </c>
      <c r="N290" s="25" t="str">
        <f>IF(AND(I290&gt;50000, J290="Sim"), "Negada", "Passa")</f>
        <v>Passa</v>
      </c>
      <c r="O290" s="39">
        <v>16500</v>
      </c>
      <c r="P290" s="43">
        <f t="shared" si="4"/>
        <v>17820</v>
      </c>
    </row>
    <row r="291" spans="1:16">
      <c r="A291" s="10" t="s">
        <v>17</v>
      </c>
      <c r="B291" s="11" t="s">
        <v>885</v>
      </c>
      <c r="C291" s="11" t="s">
        <v>886</v>
      </c>
      <c r="D291" s="12">
        <v>73</v>
      </c>
      <c r="E291" s="13" t="s">
        <v>887</v>
      </c>
      <c r="F291" s="11" t="s">
        <v>192</v>
      </c>
      <c r="G291" s="11" t="s">
        <v>193</v>
      </c>
      <c r="H291" s="35">
        <v>18100</v>
      </c>
      <c r="I291" s="35">
        <v>8500</v>
      </c>
      <c r="J291" s="11" t="s">
        <v>23</v>
      </c>
      <c r="K291" s="14">
        <v>39</v>
      </c>
      <c r="L291" s="11" t="str">
        <f>IF(K291&lt;=10, "Baixo", IF(K291&lt;=25, "Médio", "Alto"))</f>
        <v>Alto</v>
      </c>
      <c r="M291" s="25" t="str">
        <f>IF(AND(L291="Alto", J291="Sim"), "Negada", "Passa")</f>
        <v>Passa</v>
      </c>
      <c r="N291" s="25" t="str">
        <f>IF(AND(I291&gt;50000, J291="Sim"), "Negada", "Passa")</f>
        <v>Passa</v>
      </c>
      <c r="O291" s="39">
        <v>36500</v>
      </c>
      <c r="P291" s="43">
        <f t="shared" si="4"/>
        <v>39420</v>
      </c>
    </row>
    <row r="292" spans="1:16">
      <c r="A292" s="10" t="s">
        <v>17</v>
      </c>
      <c r="B292" s="11" t="s">
        <v>888</v>
      </c>
      <c r="C292" s="11" t="s">
        <v>889</v>
      </c>
      <c r="D292" s="12">
        <v>43</v>
      </c>
      <c r="E292" s="13" t="s">
        <v>890</v>
      </c>
      <c r="F292" s="11" t="s">
        <v>97</v>
      </c>
      <c r="G292" s="11" t="s">
        <v>56</v>
      </c>
      <c r="H292" s="35">
        <v>21700</v>
      </c>
      <c r="I292" s="35">
        <v>63500</v>
      </c>
      <c r="J292" s="11" t="s">
        <v>23</v>
      </c>
      <c r="K292" s="14">
        <v>24</v>
      </c>
      <c r="L292" s="11" t="str">
        <f>IF(K292&lt;=10, "Baixo", IF(K292&lt;=25, "Médio", "Alto"))</f>
        <v>Médio</v>
      </c>
      <c r="M292" s="25" t="str">
        <f>IF(AND(L292="Alto", J292="Sim"), "Negada", "Passa")</f>
        <v>Passa</v>
      </c>
      <c r="N292" s="25" t="str">
        <f>IF(AND(I292&gt;50000, J292="Sim"), "Negada", "Passa")</f>
        <v>Passa</v>
      </c>
      <c r="O292" s="39">
        <v>87000</v>
      </c>
      <c r="P292" s="43">
        <f t="shared" si="4"/>
        <v>93960</v>
      </c>
    </row>
    <row r="293" spans="1:16">
      <c r="A293" s="10" t="s">
        <v>39</v>
      </c>
      <c r="B293" s="11" t="s">
        <v>891</v>
      </c>
      <c r="C293" s="11" t="s">
        <v>892</v>
      </c>
      <c r="D293" s="12">
        <v>63</v>
      </c>
      <c r="E293" s="13" t="s">
        <v>893</v>
      </c>
      <c r="F293" s="11" t="s">
        <v>128</v>
      </c>
      <c r="G293" s="11" t="s">
        <v>28</v>
      </c>
      <c r="H293" s="35">
        <v>17300</v>
      </c>
      <c r="I293" s="35">
        <v>14000</v>
      </c>
      <c r="J293" s="11" t="s">
        <v>23</v>
      </c>
      <c r="K293" s="14">
        <v>3</v>
      </c>
      <c r="L293" s="11" t="str">
        <f>IF(K293&lt;=10, "Baixo", IF(K293&lt;=25, "Médio", "Alto"))</f>
        <v>Baixo</v>
      </c>
      <c r="M293" s="25" t="str">
        <f>IF(AND(L293="Alto", J293="Sim"), "Negada", "Passa")</f>
        <v>Passa</v>
      </c>
      <c r="N293" s="25" t="str">
        <f>IF(AND(I293&gt;50000, J293="Sim"), "Negada", "Passa")</f>
        <v>Passa</v>
      </c>
      <c r="O293" s="39">
        <v>11500</v>
      </c>
      <c r="P293" s="43">
        <f t="shared" si="4"/>
        <v>0</v>
      </c>
    </row>
    <row r="294" spans="1:16">
      <c r="A294" s="10" t="s">
        <v>39</v>
      </c>
      <c r="B294" s="11" t="s">
        <v>891</v>
      </c>
      <c r="C294" s="11" t="s">
        <v>894</v>
      </c>
      <c r="D294" s="12">
        <v>32</v>
      </c>
      <c r="E294" s="13" t="s">
        <v>895</v>
      </c>
      <c r="F294" s="11" t="s">
        <v>55</v>
      </c>
      <c r="G294" s="11" t="s">
        <v>56</v>
      </c>
      <c r="H294" s="35">
        <v>20500</v>
      </c>
      <c r="I294" s="35">
        <v>3000</v>
      </c>
      <c r="J294" s="15" t="s">
        <v>29</v>
      </c>
      <c r="K294" s="14">
        <v>40</v>
      </c>
      <c r="L294" s="11" t="str">
        <f>IF(K294&lt;=10, "Baixo", IF(K294&lt;=25, "Médio", "Alto"))</f>
        <v>Alto</v>
      </c>
      <c r="M294" s="25" t="str">
        <f>IF(AND(L294="Alto", J294="Sim"), "Negada", "Passa")</f>
        <v>Negada</v>
      </c>
      <c r="N294" s="25" t="str">
        <f>IF(AND(I294&gt;50000, J294="Sim"), "Negada", "Passa")</f>
        <v>Passa</v>
      </c>
      <c r="O294" s="39">
        <v>26000</v>
      </c>
      <c r="P294" s="43">
        <f t="shared" si="4"/>
        <v>0</v>
      </c>
    </row>
    <row r="295" spans="1:16">
      <c r="A295" s="10" t="s">
        <v>17</v>
      </c>
      <c r="B295" s="11" t="s">
        <v>896</v>
      </c>
      <c r="C295" s="11" t="s">
        <v>897</v>
      </c>
      <c r="D295" s="12">
        <v>53</v>
      </c>
      <c r="E295" s="13" t="s">
        <v>898</v>
      </c>
      <c r="F295" s="11" t="s">
        <v>71</v>
      </c>
      <c r="G295" s="11" t="s">
        <v>72</v>
      </c>
      <c r="H295" s="35">
        <v>21300</v>
      </c>
      <c r="I295" s="35">
        <v>63500</v>
      </c>
      <c r="J295" s="11" t="s">
        <v>23</v>
      </c>
      <c r="K295" s="14">
        <v>18</v>
      </c>
      <c r="L295" s="11" t="str">
        <f>IF(K295&lt;=10, "Baixo", IF(K295&lt;=25, "Médio", "Alto"))</f>
        <v>Médio</v>
      </c>
      <c r="M295" s="25" t="str">
        <f>IF(AND(L295="Alto", J295="Sim"), "Negada", "Passa")</f>
        <v>Passa</v>
      </c>
      <c r="N295" s="25" t="str">
        <f>IF(AND(I295&gt;50000, J295="Sim"), "Negada", "Passa")</f>
        <v>Passa</v>
      </c>
      <c r="O295" s="39">
        <v>3000</v>
      </c>
      <c r="P295" s="43">
        <f t="shared" si="4"/>
        <v>3240</v>
      </c>
    </row>
    <row r="296" spans="1:16">
      <c r="A296" s="10" t="s">
        <v>39</v>
      </c>
      <c r="B296" s="15" t="s">
        <v>899</v>
      </c>
      <c r="C296" s="11" t="s">
        <v>900</v>
      </c>
      <c r="D296" s="12">
        <v>62</v>
      </c>
      <c r="E296" s="13" t="s">
        <v>901</v>
      </c>
      <c r="F296" s="11" t="s">
        <v>27</v>
      </c>
      <c r="G296" s="11" t="s">
        <v>28</v>
      </c>
      <c r="H296" s="35">
        <v>14600</v>
      </c>
      <c r="I296" s="35">
        <v>19000</v>
      </c>
      <c r="J296" s="11" t="s">
        <v>35</v>
      </c>
      <c r="K296" s="14"/>
      <c r="L296" s="11" t="str">
        <f>IF(K296&lt;=10, "Baixo", IF(K296&lt;=25, "Médio", "Alto"))</f>
        <v>Baixo</v>
      </c>
      <c r="M296" s="25" t="str">
        <f>IF(AND(L296="Alto", J296="Sim"), "Negada", "Passa")</f>
        <v>Passa</v>
      </c>
      <c r="N296" s="25" t="str">
        <f>IF(AND(I296&gt;50000, J296="Sim"), "Negada", "Passa")</f>
        <v>Passa</v>
      </c>
      <c r="O296" s="39"/>
      <c r="P296" s="43">
        <f t="shared" si="4"/>
        <v>0</v>
      </c>
    </row>
    <row r="297" spans="1:16">
      <c r="A297" s="10" t="s">
        <v>17</v>
      </c>
      <c r="B297" s="11" t="s">
        <v>902</v>
      </c>
      <c r="C297" s="11" t="s">
        <v>903</v>
      </c>
      <c r="D297" s="12">
        <v>42</v>
      </c>
      <c r="E297" s="13" t="s">
        <v>904</v>
      </c>
      <c r="F297" s="11" t="s">
        <v>46</v>
      </c>
      <c r="G297" s="11" t="s">
        <v>46</v>
      </c>
      <c r="H297" s="35"/>
      <c r="I297" s="35"/>
      <c r="J297" s="11" t="s">
        <v>35</v>
      </c>
      <c r="K297" s="14"/>
      <c r="L297" s="11" t="str">
        <f>IF(K297&lt;=10, "Baixo", IF(K297&lt;=25, "Médio", "Alto"))</f>
        <v>Baixo</v>
      </c>
      <c r="M297" s="25" t="str">
        <f>IF(AND(L297="Alto", J297="Sim"), "Negada", "Passa")</f>
        <v>Passa</v>
      </c>
      <c r="N297" s="25" t="str">
        <f>IF(AND(I297&gt;50000, J297="Sim"), "Negada", "Passa")</f>
        <v>Passa</v>
      </c>
      <c r="O297" s="39"/>
      <c r="P297" s="43">
        <f t="shared" si="4"/>
        <v>0</v>
      </c>
    </row>
    <row r="298" spans="1:16">
      <c r="A298" s="10" t="s">
        <v>39</v>
      </c>
      <c r="B298" s="11" t="s">
        <v>905</v>
      </c>
      <c r="C298" s="11" t="s">
        <v>906</v>
      </c>
      <c r="D298" s="12">
        <v>73</v>
      </c>
      <c r="E298" s="13" t="s">
        <v>907</v>
      </c>
      <c r="F298" s="11" t="s">
        <v>233</v>
      </c>
      <c r="G298" s="11" t="s">
        <v>234</v>
      </c>
      <c r="H298" s="35">
        <v>7100</v>
      </c>
      <c r="I298" s="35">
        <v>42500</v>
      </c>
      <c r="J298" s="11" t="s">
        <v>29</v>
      </c>
      <c r="K298" s="14">
        <v>29</v>
      </c>
      <c r="L298" s="11" t="str">
        <f>IF(K298&lt;=10, "Baixo", IF(K298&lt;=25, "Médio", "Alto"))</f>
        <v>Alto</v>
      </c>
      <c r="M298" s="25" t="str">
        <f>IF(AND(L298="Alto", J298="Sim"), "Negada", "Passa")</f>
        <v>Negada</v>
      </c>
      <c r="N298" s="25" t="str">
        <f>IF(AND(I298&gt;50000, J298="Sim"), "Negada", "Passa")</f>
        <v>Passa</v>
      </c>
      <c r="O298" s="39">
        <v>66000</v>
      </c>
      <c r="P298" s="43">
        <f t="shared" si="4"/>
        <v>0</v>
      </c>
    </row>
    <row r="299" spans="1:16">
      <c r="A299" s="10" t="s">
        <v>17</v>
      </c>
      <c r="B299" s="11" t="s">
        <v>908</v>
      </c>
      <c r="C299" s="11" t="s">
        <v>909</v>
      </c>
      <c r="D299" s="12">
        <v>29</v>
      </c>
      <c r="E299" s="13" t="s">
        <v>910</v>
      </c>
      <c r="F299" s="11" t="s">
        <v>27</v>
      </c>
      <c r="G299" s="11" t="s">
        <v>28</v>
      </c>
      <c r="H299" s="35">
        <v>21200</v>
      </c>
      <c r="I299" s="35">
        <v>1000</v>
      </c>
      <c r="J299" s="11" t="s">
        <v>271</v>
      </c>
      <c r="K299" s="14">
        <v>42</v>
      </c>
      <c r="L299" s="11" t="str">
        <f>IF(K299&lt;=10, "Baixo", IF(K299&lt;=25, "Médio", "Alto"))</f>
        <v>Alto</v>
      </c>
      <c r="M299" s="25" t="str">
        <f>IF(AND(L299="Alto", J299="Sim"), "Negada", "Passa")</f>
        <v>Negada</v>
      </c>
      <c r="N299" s="25" t="str">
        <f>IF(AND(I299&gt;50000, J299="Sim"), "Negada", "Passa")</f>
        <v>Passa</v>
      </c>
      <c r="O299" s="39">
        <v>16500</v>
      </c>
      <c r="P299" s="43">
        <f t="shared" si="4"/>
        <v>0</v>
      </c>
    </row>
    <row r="300" spans="1:16">
      <c r="A300" s="10" t="s">
        <v>17</v>
      </c>
      <c r="B300" s="11" t="s">
        <v>911</v>
      </c>
      <c r="C300" s="11" t="s">
        <v>912</v>
      </c>
      <c r="D300" s="12">
        <v>62</v>
      </c>
      <c r="E300" s="13" t="s">
        <v>913</v>
      </c>
      <c r="F300" s="11" t="s">
        <v>319</v>
      </c>
      <c r="G300" s="11" t="s">
        <v>56</v>
      </c>
      <c r="H300" s="35">
        <v>10500</v>
      </c>
      <c r="I300" s="35">
        <v>35000</v>
      </c>
      <c r="J300" s="11" t="s">
        <v>23</v>
      </c>
      <c r="K300" s="14">
        <v>40</v>
      </c>
      <c r="L300" s="11" t="str">
        <f>IF(K300&lt;=10, "Baixo", IF(K300&lt;=25, "Médio", "Alto"))</f>
        <v>Alto</v>
      </c>
      <c r="M300" s="25" t="str">
        <f>IF(AND(L300="Alto", J300="Sim"), "Negada", "Passa")</f>
        <v>Passa</v>
      </c>
      <c r="N300" s="25" t="str">
        <f>IF(AND(I300&gt;50000, J300="Sim"), "Negada", "Passa")</f>
        <v>Passa</v>
      </c>
      <c r="O300" s="39">
        <v>1000</v>
      </c>
      <c r="P300" s="43">
        <f t="shared" si="4"/>
        <v>1080</v>
      </c>
    </row>
    <row r="301" spans="1:16">
      <c r="A301" s="10" t="s">
        <v>17</v>
      </c>
      <c r="B301" s="11" t="s">
        <v>914</v>
      </c>
      <c r="C301" s="11" t="s">
        <v>915</v>
      </c>
      <c r="D301" s="12">
        <v>20</v>
      </c>
      <c r="E301" s="13" t="s">
        <v>916</v>
      </c>
      <c r="F301" s="11" t="s">
        <v>97</v>
      </c>
      <c r="G301" s="11" t="s">
        <v>56</v>
      </c>
      <c r="H301" s="35">
        <v>24900</v>
      </c>
      <c r="I301" s="35"/>
      <c r="J301" s="11" t="s">
        <v>23</v>
      </c>
      <c r="K301" s="14">
        <v>27</v>
      </c>
      <c r="L301" s="11" t="str">
        <f>IF(K301&lt;=10, "Baixo", IF(K301&lt;=25, "Médio", "Alto"))</f>
        <v>Alto</v>
      </c>
      <c r="M301" s="25" t="str">
        <f>IF(AND(L301="Alto", J301="Sim"), "Negada", "Passa")</f>
        <v>Passa</v>
      </c>
      <c r="N301" s="25" t="str">
        <f>IF(AND(I301&gt;50000, J301="Sim"), "Negada", "Passa")</f>
        <v>Passa</v>
      </c>
      <c r="O301" s="39">
        <v>33500</v>
      </c>
      <c r="P301" s="43">
        <f t="shared" si="4"/>
        <v>36180</v>
      </c>
    </row>
    <row r="302" spans="1:16">
      <c r="A302" s="10" t="s">
        <v>17</v>
      </c>
      <c r="B302" s="11" t="s">
        <v>917</v>
      </c>
      <c r="C302" s="11" t="s">
        <v>918</v>
      </c>
      <c r="D302" s="12">
        <v>44</v>
      </c>
      <c r="E302" s="13" t="s">
        <v>919</v>
      </c>
      <c r="F302" s="11" t="s">
        <v>128</v>
      </c>
      <c r="G302" s="11" t="s">
        <v>28</v>
      </c>
      <c r="H302" s="35">
        <v>5500</v>
      </c>
      <c r="I302" s="35">
        <v>48500</v>
      </c>
      <c r="J302" s="11" t="s">
        <v>29</v>
      </c>
      <c r="K302" s="14">
        <v>6</v>
      </c>
      <c r="L302" s="11" t="str">
        <f>IF(K302&lt;=10, "Baixo", IF(K302&lt;=25, "Médio", "Alto"))</f>
        <v>Baixo</v>
      </c>
      <c r="M302" s="25" t="str">
        <f>IF(AND(L302="Alto", J302="Sim"), "Negada", "Passa")</f>
        <v>Passa</v>
      </c>
      <c r="N302" s="25" t="str">
        <f>IF(AND(I302&gt;50000, J302="Sim"), "Negada", "Passa")</f>
        <v>Passa</v>
      </c>
      <c r="O302" s="39">
        <v>56500</v>
      </c>
      <c r="P302" s="43">
        <f t="shared" si="4"/>
        <v>61020.000000000007</v>
      </c>
    </row>
    <row r="303" spans="1:16">
      <c r="A303" s="10" t="s">
        <v>17</v>
      </c>
      <c r="B303" s="11" t="s">
        <v>917</v>
      </c>
      <c r="C303" s="11" t="s">
        <v>920</v>
      </c>
      <c r="D303" s="12">
        <v>71</v>
      </c>
      <c r="E303" s="13" t="s">
        <v>921</v>
      </c>
      <c r="F303" s="11" t="s">
        <v>192</v>
      </c>
      <c r="G303" s="11" t="s">
        <v>193</v>
      </c>
      <c r="H303" s="35">
        <v>15100</v>
      </c>
      <c r="I303" s="35">
        <v>17500</v>
      </c>
      <c r="J303" s="11" t="s">
        <v>23</v>
      </c>
      <c r="K303" s="14">
        <v>19</v>
      </c>
      <c r="L303" s="11" t="str">
        <f>IF(K303&lt;=10, "Baixo", IF(K303&lt;=25, "Médio", "Alto"))</f>
        <v>Médio</v>
      </c>
      <c r="M303" s="25" t="str">
        <f>IF(AND(L303="Alto", J303="Sim"), "Negada", "Passa")</f>
        <v>Passa</v>
      </c>
      <c r="N303" s="25" t="str">
        <f>IF(AND(I303&gt;50000, J303="Sim"), "Negada", "Passa")</f>
        <v>Passa</v>
      </c>
      <c r="O303" s="39">
        <v>26000</v>
      </c>
      <c r="P303" s="43">
        <f t="shared" si="4"/>
        <v>28080.000000000004</v>
      </c>
    </row>
    <row r="304" spans="1:16">
      <c r="A304" s="10" t="s">
        <v>17</v>
      </c>
      <c r="B304" s="11" t="s">
        <v>922</v>
      </c>
      <c r="C304" s="11" t="s">
        <v>923</v>
      </c>
      <c r="D304" s="12"/>
      <c r="E304" s="13" t="s">
        <v>924</v>
      </c>
      <c r="F304" s="15" t="s">
        <v>925</v>
      </c>
      <c r="G304" s="11" t="s">
        <v>234</v>
      </c>
      <c r="H304" s="35">
        <v>6500</v>
      </c>
      <c r="I304" s="35">
        <v>45000</v>
      </c>
      <c r="J304" s="11" t="s">
        <v>23</v>
      </c>
      <c r="K304" s="14">
        <v>34</v>
      </c>
      <c r="L304" s="11" t="str">
        <f>IF(K304&lt;=10, "Baixo", IF(K304&lt;=25, "Médio", "Alto"))</f>
        <v>Alto</v>
      </c>
      <c r="M304" s="25" t="str">
        <f>IF(AND(L304="Alto", J304="Sim"), "Negada", "Passa")</f>
        <v>Passa</v>
      </c>
      <c r="N304" s="25" t="str">
        <f>IF(AND(I304&gt;50000, J304="Sim"), "Negada", "Passa")</f>
        <v>Passa</v>
      </c>
      <c r="O304" s="39">
        <v>41500</v>
      </c>
      <c r="P304" s="43">
        <f t="shared" si="4"/>
        <v>44820</v>
      </c>
    </row>
    <row r="305" spans="1:16">
      <c r="A305" s="10" t="s">
        <v>17</v>
      </c>
      <c r="B305" s="11" t="s">
        <v>926</v>
      </c>
      <c r="C305" s="11" t="s">
        <v>927</v>
      </c>
      <c r="D305" s="12">
        <v>22</v>
      </c>
      <c r="E305" s="13" t="s">
        <v>928</v>
      </c>
      <c r="F305" s="11" t="s">
        <v>71</v>
      </c>
      <c r="G305" s="11" t="s">
        <v>72</v>
      </c>
      <c r="H305" s="35">
        <v>4100</v>
      </c>
      <c r="I305" s="35">
        <v>78500</v>
      </c>
      <c r="J305" s="11" t="s">
        <v>23</v>
      </c>
      <c r="K305" s="14">
        <v>1</v>
      </c>
      <c r="L305" s="11" t="str">
        <f>IF(K305&lt;=10, "Baixo", IF(K305&lt;=25, "Médio", "Alto"))</f>
        <v>Baixo</v>
      </c>
      <c r="M305" s="25" t="str">
        <f>IF(AND(L305="Alto", J305="Sim"), "Negada", "Passa")</f>
        <v>Passa</v>
      </c>
      <c r="N305" s="25" t="str">
        <f>IF(AND(I305&gt;50000, J305="Sim"), "Negada", "Passa")</f>
        <v>Passa</v>
      </c>
      <c r="O305" s="39">
        <v>42000</v>
      </c>
      <c r="P305" s="43">
        <f t="shared" si="4"/>
        <v>45360</v>
      </c>
    </row>
    <row r="306" spans="1:16">
      <c r="A306" s="10" t="s">
        <v>17</v>
      </c>
      <c r="B306" s="11" t="s">
        <v>929</v>
      </c>
      <c r="C306" s="11" t="s">
        <v>930</v>
      </c>
      <c r="D306" s="12">
        <v>25</v>
      </c>
      <c r="E306" s="13" t="s">
        <v>931</v>
      </c>
      <c r="F306" s="11" t="s">
        <v>71</v>
      </c>
      <c r="G306" s="11" t="s">
        <v>72</v>
      </c>
      <c r="H306" s="35">
        <v>22100</v>
      </c>
      <c r="I306" s="35"/>
      <c r="J306" s="11" t="s">
        <v>23</v>
      </c>
      <c r="K306" s="14">
        <v>16</v>
      </c>
      <c r="L306" s="11" t="str">
        <f>IF(K306&lt;=10, "Baixo", IF(K306&lt;=25, "Médio", "Alto"))</f>
        <v>Médio</v>
      </c>
      <c r="M306" s="25" t="str">
        <f>IF(AND(L306="Alto", J306="Sim"), "Negada", "Passa")</f>
        <v>Passa</v>
      </c>
      <c r="N306" s="25" t="str">
        <f>IF(AND(I306&gt;50000, J306="Sim"), "Negada", "Passa")</f>
        <v>Passa</v>
      </c>
      <c r="O306" s="39">
        <v>61500</v>
      </c>
      <c r="P306" s="43">
        <f t="shared" si="4"/>
        <v>66420</v>
      </c>
    </row>
    <row r="307" spans="1:16">
      <c r="A307" s="10" t="s">
        <v>35</v>
      </c>
      <c r="B307" s="15" t="s">
        <v>932</v>
      </c>
      <c r="C307" s="11" t="s">
        <v>933</v>
      </c>
      <c r="D307" s="12">
        <v>64</v>
      </c>
      <c r="E307" s="13" t="s">
        <v>934</v>
      </c>
      <c r="F307" s="11" t="s">
        <v>192</v>
      </c>
      <c r="G307" s="11" t="s">
        <v>193</v>
      </c>
      <c r="H307" s="35">
        <v>940000</v>
      </c>
      <c r="I307" s="35"/>
      <c r="J307" s="11"/>
      <c r="K307" s="14">
        <v>26</v>
      </c>
      <c r="L307" s="11" t="str">
        <f>IF(K307&lt;=10, "Baixo", IF(K307&lt;=25, "Médio", "Alto"))</f>
        <v>Alto</v>
      </c>
      <c r="M307" s="25" t="str">
        <f>IF(AND(L307="Alto", J307="Sim"), "Negada", "Passa")</f>
        <v>Passa</v>
      </c>
      <c r="N307" s="25" t="str">
        <f>IF(AND(I307&gt;50000, J307="Sim"), "Negada", "Passa")</f>
        <v>Passa</v>
      </c>
      <c r="O307" s="39">
        <v>89000</v>
      </c>
      <c r="P307" s="43">
        <f t="shared" si="4"/>
        <v>0</v>
      </c>
    </row>
    <row r="308" spans="1:16">
      <c r="A308" s="10" t="s">
        <v>17</v>
      </c>
      <c r="B308" s="11" t="s">
        <v>935</v>
      </c>
      <c r="C308" s="11" t="s">
        <v>936</v>
      </c>
      <c r="D308" s="12">
        <v>40</v>
      </c>
      <c r="E308" s="13" t="s">
        <v>937</v>
      </c>
      <c r="F308" s="11" t="s">
        <v>131</v>
      </c>
      <c r="G308" s="11" t="s">
        <v>56</v>
      </c>
      <c r="H308" s="35">
        <v>9900</v>
      </c>
      <c r="I308" s="35">
        <v>36500</v>
      </c>
      <c r="J308" s="11" t="s">
        <v>35</v>
      </c>
      <c r="K308" s="14"/>
      <c r="L308" s="11" t="str">
        <f>IF(K308&lt;=10, "Baixo", IF(K308&lt;=25, "Médio", "Alto"))</f>
        <v>Baixo</v>
      </c>
      <c r="M308" s="25" t="str">
        <f>IF(AND(L308="Alto", J308="Sim"), "Negada", "Passa")</f>
        <v>Passa</v>
      </c>
      <c r="N308" s="25" t="str">
        <f>IF(AND(I308&gt;50000, J308="Sim"), "Negada", "Passa")</f>
        <v>Passa</v>
      </c>
      <c r="O308" s="39"/>
      <c r="P308" s="43">
        <f t="shared" si="4"/>
        <v>0</v>
      </c>
    </row>
    <row r="309" spans="1:16">
      <c r="A309" s="10" t="s">
        <v>17</v>
      </c>
      <c r="B309" s="11" t="s">
        <v>938</v>
      </c>
      <c r="C309" s="11" t="s">
        <v>939</v>
      </c>
      <c r="D309" s="12">
        <v>26</v>
      </c>
      <c r="E309" s="13" t="s">
        <v>940</v>
      </c>
      <c r="F309" s="11" t="s">
        <v>97</v>
      </c>
      <c r="G309" s="11" t="s">
        <v>56</v>
      </c>
      <c r="H309" s="35">
        <v>5000</v>
      </c>
      <c r="I309" s="35">
        <v>78000</v>
      </c>
      <c r="J309" s="11" t="s">
        <v>23</v>
      </c>
      <c r="K309" s="14">
        <v>9</v>
      </c>
      <c r="L309" s="11" t="str">
        <f>IF(K309&lt;=10, "Baixo", IF(K309&lt;=25, "Médio", "Alto"))</f>
        <v>Baixo</v>
      </c>
      <c r="M309" s="25" t="str">
        <f>IF(AND(L309="Alto", J309="Sim"), "Negada", "Passa")</f>
        <v>Passa</v>
      </c>
      <c r="N309" s="25" t="str">
        <f>IF(AND(I309&gt;50000, J309="Sim"), "Negada", "Passa")</f>
        <v>Passa</v>
      </c>
      <c r="O309" s="39">
        <v>51500</v>
      </c>
      <c r="P309" s="43">
        <f t="shared" si="4"/>
        <v>55620.000000000007</v>
      </c>
    </row>
    <row r="310" spans="1:16">
      <c r="A310" s="10" t="s">
        <v>17</v>
      </c>
      <c r="B310" s="11" t="s">
        <v>941</v>
      </c>
      <c r="C310" s="11" t="s">
        <v>942</v>
      </c>
      <c r="D310" s="12">
        <v>72</v>
      </c>
      <c r="E310" s="13" t="s">
        <v>943</v>
      </c>
      <c r="F310" s="11" t="s">
        <v>115</v>
      </c>
      <c r="G310" s="11" t="s">
        <v>116</v>
      </c>
      <c r="H310" s="35">
        <v>12600</v>
      </c>
      <c r="I310" s="35">
        <v>72000</v>
      </c>
      <c r="J310" s="11" t="s">
        <v>23</v>
      </c>
      <c r="K310" s="14">
        <v>35</v>
      </c>
      <c r="L310" s="11" t="str">
        <f>IF(K310&lt;=10, "Baixo", IF(K310&lt;=25, "Médio", "Alto"))</f>
        <v>Alto</v>
      </c>
      <c r="M310" s="25" t="str">
        <f>IF(AND(L310="Alto", J310="Sim"), "Negada", "Passa")</f>
        <v>Passa</v>
      </c>
      <c r="N310" s="25" t="str">
        <f>IF(AND(I310&gt;50000, J310="Sim"), "Negada", "Passa")</f>
        <v>Passa</v>
      </c>
      <c r="O310" s="39">
        <v>79000</v>
      </c>
      <c r="P310" s="43">
        <f t="shared" si="4"/>
        <v>85320</v>
      </c>
    </row>
    <row r="311" spans="1:16">
      <c r="A311" s="10" t="s">
        <v>17</v>
      </c>
      <c r="B311" s="11" t="s">
        <v>941</v>
      </c>
      <c r="C311" s="11" t="s">
        <v>944</v>
      </c>
      <c r="D311" s="12">
        <v>63</v>
      </c>
      <c r="E311" s="13" t="s">
        <v>945</v>
      </c>
      <c r="F311" s="11" t="s">
        <v>46</v>
      </c>
      <c r="G311" s="11" t="s">
        <v>46</v>
      </c>
      <c r="H311" s="35">
        <v>5500</v>
      </c>
      <c r="I311" s="35">
        <v>48000</v>
      </c>
      <c r="J311" s="11" t="s">
        <v>35</v>
      </c>
      <c r="K311" s="14"/>
      <c r="L311" s="11" t="str">
        <f>IF(K311&lt;=10, "Baixo", IF(K311&lt;=25, "Médio", "Alto"))</f>
        <v>Baixo</v>
      </c>
      <c r="M311" s="25" t="str">
        <f>IF(AND(L311="Alto", J311="Sim"), "Negada", "Passa")</f>
        <v>Passa</v>
      </c>
      <c r="N311" s="25" t="str">
        <f>IF(AND(I311&gt;50000, J311="Sim"), "Negada", "Passa")</f>
        <v>Passa</v>
      </c>
      <c r="O311" s="39"/>
      <c r="P311" s="43">
        <f t="shared" si="4"/>
        <v>0</v>
      </c>
    </row>
    <row r="312" spans="1:16">
      <c r="A312" s="10" t="s">
        <v>17</v>
      </c>
      <c r="B312" s="11" t="s">
        <v>946</v>
      </c>
      <c r="C312" s="11" t="s">
        <v>947</v>
      </c>
      <c r="D312" s="12">
        <v>33</v>
      </c>
      <c r="E312" s="13" t="s">
        <v>948</v>
      </c>
      <c r="F312" s="11" t="s">
        <v>82</v>
      </c>
      <c r="G312" s="11" t="s">
        <v>22</v>
      </c>
      <c r="H312" s="35">
        <v>3400</v>
      </c>
      <c r="I312" s="35">
        <v>53000</v>
      </c>
      <c r="J312" s="11" t="s">
        <v>29</v>
      </c>
      <c r="K312" s="14">
        <v>20</v>
      </c>
      <c r="L312" s="11" t="str">
        <f>IF(K312&lt;=10, "Baixo", IF(K312&lt;=25, "Médio", "Alto"))</f>
        <v>Médio</v>
      </c>
      <c r="M312" s="25" t="str">
        <f>IF(AND(L312="Alto", J312="Sim"), "Negada", "Passa")</f>
        <v>Passa</v>
      </c>
      <c r="N312" s="25" t="str">
        <f>IF(AND(I312&gt;50000, J312="Sim"), "Negada", "Passa")</f>
        <v>Negada</v>
      </c>
      <c r="O312" s="39">
        <v>52500</v>
      </c>
      <c r="P312" s="43">
        <f t="shared" si="4"/>
        <v>0</v>
      </c>
    </row>
    <row r="313" spans="1:16">
      <c r="A313" s="10" t="s">
        <v>39</v>
      </c>
      <c r="B313" s="11" t="s">
        <v>949</v>
      </c>
      <c r="C313" s="11" t="s">
        <v>950</v>
      </c>
      <c r="D313" s="12">
        <v>33</v>
      </c>
      <c r="E313" s="13" t="s">
        <v>951</v>
      </c>
      <c r="F313" s="11" t="s">
        <v>27</v>
      </c>
      <c r="G313" s="11" t="s">
        <v>28</v>
      </c>
      <c r="H313" s="35">
        <v>12500</v>
      </c>
      <c r="I313" s="35">
        <v>25000</v>
      </c>
      <c r="J313" s="11" t="s">
        <v>23</v>
      </c>
      <c r="K313" s="14">
        <v>0</v>
      </c>
      <c r="L313" s="11" t="str">
        <f>IF(K313&lt;=10, "Baixo", IF(K313&lt;=25, "Médio", "Alto"))</f>
        <v>Baixo</v>
      </c>
      <c r="M313" s="25" t="str">
        <f>IF(AND(L313="Alto", J313="Sim"), "Negada", "Passa")</f>
        <v>Passa</v>
      </c>
      <c r="N313" s="25" t="str">
        <f>IF(AND(I313&gt;50000, J313="Sim"), "Negada", "Passa")</f>
        <v>Passa</v>
      </c>
      <c r="O313" s="39">
        <v>55500</v>
      </c>
      <c r="P313" s="43">
        <f t="shared" si="4"/>
        <v>0</v>
      </c>
    </row>
    <row r="314" spans="1:16">
      <c r="A314" s="10" t="s">
        <v>39</v>
      </c>
      <c r="B314" s="11" t="s">
        <v>952</v>
      </c>
      <c r="C314" s="11" t="s">
        <v>953</v>
      </c>
      <c r="D314" s="12">
        <v>35</v>
      </c>
      <c r="E314" s="13" t="s">
        <v>954</v>
      </c>
      <c r="F314" s="11" t="s">
        <v>319</v>
      </c>
      <c r="G314" s="11" t="s">
        <v>56</v>
      </c>
      <c r="H314" s="35">
        <v>17600</v>
      </c>
      <c r="I314" s="35">
        <v>12000</v>
      </c>
      <c r="J314" s="11" t="s">
        <v>23</v>
      </c>
      <c r="K314" s="14">
        <v>37</v>
      </c>
      <c r="L314" s="11" t="str">
        <f>IF(K314&lt;=10, "Baixo", IF(K314&lt;=25, "Médio", "Alto"))</f>
        <v>Alto</v>
      </c>
      <c r="M314" s="25" t="str">
        <f>IF(AND(L314="Alto", J314="Sim"), "Negada", "Passa")</f>
        <v>Passa</v>
      </c>
      <c r="N314" s="25" t="str">
        <f>IF(AND(I314&gt;50000, J314="Sim"), "Negada", "Passa")</f>
        <v>Passa</v>
      </c>
      <c r="O314" s="39">
        <v>49000</v>
      </c>
      <c r="P314" s="43">
        <f t="shared" si="4"/>
        <v>0</v>
      </c>
    </row>
    <row r="315" spans="1:16">
      <c r="A315" s="10" t="s">
        <v>17</v>
      </c>
      <c r="B315" s="11" t="s">
        <v>955</v>
      </c>
      <c r="C315" s="11" t="s">
        <v>956</v>
      </c>
      <c r="D315" s="12">
        <v>71</v>
      </c>
      <c r="E315" s="13" t="s">
        <v>957</v>
      </c>
      <c r="F315" s="11" t="s">
        <v>115</v>
      </c>
      <c r="G315" s="11" t="s">
        <v>116</v>
      </c>
      <c r="H315" s="35">
        <v>14200</v>
      </c>
      <c r="I315" s="35">
        <v>21500</v>
      </c>
      <c r="J315" s="11" t="s">
        <v>29</v>
      </c>
      <c r="K315" s="14">
        <v>24</v>
      </c>
      <c r="L315" s="11" t="str">
        <f>IF(K315&lt;=10, "Baixo", IF(K315&lt;=25, "Médio", "Alto"))</f>
        <v>Médio</v>
      </c>
      <c r="M315" s="25" t="str">
        <f>IF(AND(L315="Alto", J315="Sim"), "Negada", "Passa")</f>
        <v>Passa</v>
      </c>
      <c r="N315" s="25" t="str">
        <f>IF(AND(I315&gt;50000, J315="Sim"), "Negada", "Passa")</f>
        <v>Passa</v>
      </c>
      <c r="O315" s="39">
        <v>80000</v>
      </c>
      <c r="P315" s="43">
        <f t="shared" si="4"/>
        <v>86400</v>
      </c>
    </row>
    <row r="316" spans="1:16">
      <c r="A316" s="10" t="s">
        <v>17</v>
      </c>
      <c r="B316" s="11" t="s">
        <v>958</v>
      </c>
      <c r="C316" s="11" t="s">
        <v>959</v>
      </c>
      <c r="D316" s="12">
        <v>69</v>
      </c>
      <c r="E316" s="13" t="s">
        <v>960</v>
      </c>
      <c r="F316" s="11" t="s">
        <v>92</v>
      </c>
      <c r="G316" s="11" t="s">
        <v>93</v>
      </c>
      <c r="H316" s="35">
        <v>13800</v>
      </c>
      <c r="I316" s="35">
        <v>23000</v>
      </c>
      <c r="J316" s="11" t="s">
        <v>35</v>
      </c>
      <c r="K316" s="14">
        <v>22</v>
      </c>
      <c r="L316" s="11" t="str">
        <f>IF(K316&lt;=10, "Baixo", IF(K316&lt;=25, "Médio", "Alto"))</f>
        <v>Médio</v>
      </c>
      <c r="M316" s="25" t="str">
        <f>IF(AND(L316="Alto", J316="Sim"), "Negada", "Passa")</f>
        <v>Passa</v>
      </c>
      <c r="N316" s="25" t="str">
        <f>IF(AND(I316&gt;50000, J316="Sim"), "Negada", "Passa")</f>
        <v>Passa</v>
      </c>
      <c r="O316" s="39">
        <v>99000</v>
      </c>
      <c r="P316" s="43">
        <f t="shared" si="4"/>
        <v>106920</v>
      </c>
    </row>
    <row r="317" spans="1:16">
      <c r="A317" s="10" t="s">
        <v>39</v>
      </c>
      <c r="B317" s="11" t="s">
        <v>961</v>
      </c>
      <c r="C317" s="11" t="s">
        <v>962</v>
      </c>
      <c r="D317" s="12">
        <v>24</v>
      </c>
      <c r="E317" s="13" t="s">
        <v>963</v>
      </c>
      <c r="F317" s="11" t="s">
        <v>233</v>
      </c>
      <c r="G317" s="11" t="s">
        <v>234</v>
      </c>
      <c r="H317" s="35">
        <v>11000</v>
      </c>
      <c r="I317" s="35">
        <v>34000</v>
      </c>
      <c r="J317" s="11" t="s">
        <v>23</v>
      </c>
      <c r="K317" s="14">
        <v>35</v>
      </c>
      <c r="L317" s="11" t="str">
        <f>IF(K317&lt;=10, "Baixo", IF(K317&lt;=25, "Médio", "Alto"))</f>
        <v>Alto</v>
      </c>
      <c r="M317" s="25" t="str">
        <f>IF(AND(L317="Alto", J317="Sim"), "Negada", "Passa")</f>
        <v>Passa</v>
      </c>
      <c r="N317" s="25" t="str">
        <f>IF(AND(I317&gt;50000, J317="Sim"), "Negada", "Passa")</f>
        <v>Passa</v>
      </c>
      <c r="O317" s="39">
        <v>35000</v>
      </c>
      <c r="P317" s="43">
        <f t="shared" si="4"/>
        <v>0</v>
      </c>
    </row>
    <row r="318" spans="1:16">
      <c r="A318" s="10" t="s">
        <v>17</v>
      </c>
      <c r="B318" s="11" t="s">
        <v>964</v>
      </c>
      <c r="C318" s="11" t="s">
        <v>965</v>
      </c>
      <c r="D318" s="12">
        <v>34</v>
      </c>
      <c r="E318" s="13" t="s">
        <v>966</v>
      </c>
      <c r="F318" s="11" t="s">
        <v>27</v>
      </c>
      <c r="G318" s="11" t="s">
        <v>28</v>
      </c>
      <c r="H318" s="35">
        <v>5100</v>
      </c>
      <c r="I318" s="35">
        <v>49000</v>
      </c>
      <c r="J318" s="11" t="s">
        <v>23</v>
      </c>
      <c r="K318" s="14">
        <v>1</v>
      </c>
      <c r="L318" s="11" t="str">
        <f>IF(K318&lt;=10, "Baixo", IF(K318&lt;=25, "Médio", "Alto"))</f>
        <v>Baixo</v>
      </c>
      <c r="M318" s="25" t="str">
        <f>IF(AND(L318="Alto", J318="Sim"), "Negada", "Passa")</f>
        <v>Passa</v>
      </c>
      <c r="N318" s="25" t="str">
        <f>IF(AND(I318&gt;50000, J318="Sim"), "Negada", "Passa")</f>
        <v>Passa</v>
      </c>
      <c r="O318" s="39">
        <v>48000</v>
      </c>
      <c r="P318" s="43">
        <f t="shared" si="4"/>
        <v>51840</v>
      </c>
    </row>
    <row r="319" spans="1:16">
      <c r="A319" s="10" t="s">
        <v>17</v>
      </c>
      <c r="B319" s="11" t="s">
        <v>967</v>
      </c>
      <c r="C319" s="11" t="s">
        <v>968</v>
      </c>
      <c r="D319" s="12">
        <v>64</v>
      </c>
      <c r="E319" s="13" t="s">
        <v>969</v>
      </c>
      <c r="F319" s="11" t="s">
        <v>60</v>
      </c>
      <c r="G319" s="11" t="s">
        <v>61</v>
      </c>
      <c r="H319" s="35">
        <v>8800</v>
      </c>
      <c r="I319" s="35">
        <v>76000</v>
      </c>
      <c r="J319" s="15" t="s">
        <v>23</v>
      </c>
      <c r="K319" s="14">
        <v>44</v>
      </c>
      <c r="L319" s="11" t="str">
        <f>IF(K319&lt;=10, "Baixo", IF(K319&lt;=25, "Médio", "Alto"))</f>
        <v>Alto</v>
      </c>
      <c r="M319" s="25" t="str">
        <f>IF(AND(L319="Alto", J319="Sim"), "Negada", "Passa")</f>
        <v>Passa</v>
      </c>
      <c r="N319" s="25" t="str">
        <f>IF(AND(I319&gt;50000, J319="Sim"), "Negada", "Passa")</f>
        <v>Passa</v>
      </c>
      <c r="O319" s="39">
        <v>27000</v>
      </c>
      <c r="P319" s="43">
        <f t="shared" si="4"/>
        <v>29160.000000000004</v>
      </c>
    </row>
    <row r="320" spans="1:16">
      <c r="A320" s="10" t="s">
        <v>17</v>
      </c>
      <c r="B320" s="11" t="s">
        <v>970</v>
      </c>
      <c r="C320" s="11" t="s">
        <v>971</v>
      </c>
      <c r="D320" s="12"/>
      <c r="E320" s="13" t="s">
        <v>972</v>
      </c>
      <c r="F320" s="11" t="s">
        <v>115</v>
      </c>
      <c r="G320" s="11" t="s">
        <v>116</v>
      </c>
      <c r="H320" s="35">
        <v>9000</v>
      </c>
      <c r="I320" s="35">
        <v>40000</v>
      </c>
      <c r="J320" s="11" t="s">
        <v>23</v>
      </c>
      <c r="K320" s="14">
        <v>16</v>
      </c>
      <c r="L320" s="11" t="str">
        <f>IF(K320&lt;=10, "Baixo", IF(K320&lt;=25, "Médio", "Alto"))</f>
        <v>Médio</v>
      </c>
      <c r="M320" s="25" t="str">
        <f>IF(AND(L320="Alto", J320="Sim"), "Negada", "Passa")</f>
        <v>Passa</v>
      </c>
      <c r="N320" s="25" t="str">
        <f>IF(AND(I320&gt;50000, J320="Sim"), "Negada", "Passa")</f>
        <v>Passa</v>
      </c>
      <c r="O320" s="39">
        <v>98500</v>
      </c>
      <c r="P320" s="43">
        <f t="shared" si="4"/>
        <v>106380</v>
      </c>
    </row>
    <row r="321" spans="1:16">
      <c r="A321" s="10" t="s">
        <v>17</v>
      </c>
      <c r="B321" s="15" t="s">
        <v>973</v>
      </c>
      <c r="C321" s="11" t="s">
        <v>974</v>
      </c>
      <c r="D321" s="12">
        <v>45</v>
      </c>
      <c r="E321" s="13" t="s">
        <v>975</v>
      </c>
      <c r="F321" s="16" t="s">
        <v>82</v>
      </c>
      <c r="G321" s="11" t="s">
        <v>22</v>
      </c>
      <c r="H321" s="35">
        <v>16200</v>
      </c>
      <c r="I321" s="35">
        <v>16000</v>
      </c>
      <c r="J321" s="11" t="s">
        <v>29</v>
      </c>
      <c r="K321" s="14">
        <v>44</v>
      </c>
      <c r="L321" s="11" t="str">
        <f>IF(K321&lt;=10, "Baixo", IF(K321&lt;=25, "Médio", "Alto"))</f>
        <v>Alto</v>
      </c>
      <c r="M321" s="25" t="str">
        <f>IF(AND(L321="Alto", J321="Sim"), "Negada", "Passa")</f>
        <v>Negada</v>
      </c>
      <c r="N321" s="25" t="str">
        <f>IF(AND(I321&gt;50000, J321="Sim"), "Negada", "Passa")</f>
        <v>Passa</v>
      </c>
      <c r="O321" s="39">
        <v>59000</v>
      </c>
      <c r="P321" s="43">
        <f t="shared" si="4"/>
        <v>0</v>
      </c>
    </row>
    <row r="322" spans="1:16">
      <c r="A322" s="10" t="s">
        <v>39</v>
      </c>
      <c r="B322" s="11" t="s">
        <v>976</v>
      </c>
      <c r="C322" s="11" t="s">
        <v>977</v>
      </c>
      <c r="D322" s="12">
        <v>36</v>
      </c>
      <c r="E322" s="13" t="s">
        <v>978</v>
      </c>
      <c r="F322" s="11" t="s">
        <v>192</v>
      </c>
      <c r="G322" s="11" t="s">
        <v>193</v>
      </c>
      <c r="H322" s="35">
        <v>27600</v>
      </c>
      <c r="I322" s="35"/>
      <c r="J322" s="11" t="s">
        <v>29</v>
      </c>
      <c r="K322" s="14">
        <v>28</v>
      </c>
      <c r="L322" s="11" t="str">
        <f>IF(K322&lt;=10, "Baixo", IF(K322&lt;=25, "Médio", "Alto"))</f>
        <v>Alto</v>
      </c>
      <c r="M322" s="25" t="str">
        <f>IF(AND(L322="Alto", J322="Sim"), "Negada", "Passa")</f>
        <v>Negada</v>
      </c>
      <c r="N322" s="25" t="str">
        <f>IF(AND(I322&gt;50000, J322="Sim"), "Negada", "Passa")</f>
        <v>Passa</v>
      </c>
      <c r="O322" s="39">
        <v>13000</v>
      </c>
      <c r="P322" s="43">
        <f t="shared" si="4"/>
        <v>0</v>
      </c>
    </row>
    <row r="323" spans="1:16">
      <c r="A323" s="10" t="s">
        <v>17</v>
      </c>
      <c r="B323" s="11" t="s">
        <v>979</v>
      </c>
      <c r="C323" s="11" t="s">
        <v>980</v>
      </c>
      <c r="D323" s="12">
        <v>26</v>
      </c>
      <c r="E323" s="13" t="s">
        <v>981</v>
      </c>
      <c r="F323" s="11" t="s">
        <v>46</v>
      </c>
      <c r="G323" s="11" t="s">
        <v>46</v>
      </c>
      <c r="H323" s="35">
        <v>22900</v>
      </c>
      <c r="I323" s="35"/>
      <c r="J323" s="11" t="s">
        <v>23</v>
      </c>
      <c r="K323" s="14">
        <v>36</v>
      </c>
      <c r="L323" s="11" t="str">
        <f>IF(K323&lt;=10, "Baixo", IF(K323&lt;=25, "Médio", "Alto"))</f>
        <v>Alto</v>
      </c>
      <c r="M323" s="25" t="str">
        <f>IF(AND(L323="Alto", J323="Sim"), "Negada", "Passa")</f>
        <v>Passa</v>
      </c>
      <c r="N323" s="25" t="str">
        <f>IF(AND(I323&gt;50000, J323="Sim"), "Negada", "Passa")</f>
        <v>Passa</v>
      </c>
      <c r="O323" s="39">
        <v>89000</v>
      </c>
      <c r="P323" s="43">
        <f t="shared" ref="P323:P380" si="5">IF(OR(M323="Negada", N323="Negada"), 0, IF(A323="Ativo", O323*1.08, 0))</f>
        <v>96120</v>
      </c>
    </row>
    <row r="324" spans="1:16">
      <c r="A324" s="10" t="s">
        <v>17</v>
      </c>
      <c r="B324" s="11" t="s">
        <v>982</v>
      </c>
      <c r="C324" s="11" t="s">
        <v>983</v>
      </c>
      <c r="D324" s="12">
        <v>19</v>
      </c>
      <c r="E324" s="13" t="s">
        <v>984</v>
      </c>
      <c r="F324" s="11" t="s">
        <v>363</v>
      </c>
      <c r="G324" s="11" t="s">
        <v>28</v>
      </c>
      <c r="H324" s="35">
        <v>7200</v>
      </c>
      <c r="I324" s="35">
        <v>76500</v>
      </c>
      <c r="J324" s="11" t="s">
        <v>23</v>
      </c>
      <c r="K324" s="14">
        <v>30</v>
      </c>
      <c r="L324" s="11" t="str">
        <f>IF(K324&lt;=10, "Baixo", IF(K324&lt;=25, "Médio", "Alto"))</f>
        <v>Alto</v>
      </c>
      <c r="M324" s="25" t="str">
        <f>IF(AND(L324="Alto", J324="Sim"), "Negada", "Passa")</f>
        <v>Passa</v>
      </c>
      <c r="N324" s="25" t="str">
        <f>IF(AND(I324&gt;50000, J324="Sim"), "Negada", "Passa")</f>
        <v>Passa</v>
      </c>
      <c r="O324" s="39">
        <v>18500</v>
      </c>
      <c r="P324" s="43">
        <f t="shared" si="5"/>
        <v>19980</v>
      </c>
    </row>
    <row r="325" spans="1:16">
      <c r="A325" s="10" t="s">
        <v>17</v>
      </c>
      <c r="B325" s="11" t="s">
        <v>985</v>
      </c>
      <c r="C325" s="11" t="s">
        <v>986</v>
      </c>
      <c r="D325" s="12">
        <v>71</v>
      </c>
      <c r="E325" s="13" t="s">
        <v>987</v>
      </c>
      <c r="F325" s="11" t="s">
        <v>82</v>
      </c>
      <c r="G325" s="11" t="s">
        <v>22</v>
      </c>
      <c r="H325" s="35">
        <v>29200</v>
      </c>
      <c r="I325" s="35"/>
      <c r="J325" s="11" t="s">
        <v>35</v>
      </c>
      <c r="K325" s="14"/>
      <c r="L325" s="11" t="str">
        <f>IF(K325&lt;=10, "Baixo", IF(K325&lt;=25, "Médio", "Alto"))</f>
        <v>Baixo</v>
      </c>
      <c r="M325" s="25" t="str">
        <f>IF(AND(L325="Alto", J325="Sim"), "Negada", "Passa")</f>
        <v>Passa</v>
      </c>
      <c r="N325" s="25" t="str">
        <f>IF(AND(I325&gt;50000, J325="Sim"), "Negada", "Passa")</f>
        <v>Passa</v>
      </c>
      <c r="O325" s="39"/>
      <c r="P325" s="43">
        <f t="shared" si="5"/>
        <v>0</v>
      </c>
    </row>
    <row r="326" spans="1:16">
      <c r="A326" s="10" t="s">
        <v>39</v>
      </c>
      <c r="B326" s="11" t="s">
        <v>988</v>
      </c>
      <c r="C326" s="11" t="s">
        <v>989</v>
      </c>
      <c r="D326" s="12">
        <v>74</v>
      </c>
      <c r="E326" s="13" t="s">
        <v>990</v>
      </c>
      <c r="F326" s="11" t="s">
        <v>115</v>
      </c>
      <c r="G326" s="11" t="s">
        <v>116</v>
      </c>
      <c r="H326" s="35">
        <v>7100</v>
      </c>
      <c r="I326" s="35">
        <v>42500</v>
      </c>
      <c r="J326" s="15" t="s">
        <v>29</v>
      </c>
      <c r="K326" s="14">
        <v>3</v>
      </c>
      <c r="L326" s="11" t="str">
        <f>IF(K326&lt;=10, "Baixo", IF(K326&lt;=25, "Médio", "Alto"))</f>
        <v>Baixo</v>
      </c>
      <c r="M326" s="25" t="str">
        <f>IF(AND(L326="Alto", J326="Sim"), "Negada", "Passa")</f>
        <v>Passa</v>
      </c>
      <c r="N326" s="25" t="str">
        <f>IF(AND(I326&gt;50000, J326="Sim"), "Negada", "Passa")</f>
        <v>Passa</v>
      </c>
      <c r="O326" s="39">
        <v>8000</v>
      </c>
      <c r="P326" s="43">
        <f t="shared" si="5"/>
        <v>0</v>
      </c>
    </row>
    <row r="327" spans="1:16">
      <c r="A327" s="10" t="s">
        <v>17</v>
      </c>
      <c r="B327" s="11" t="s">
        <v>991</v>
      </c>
      <c r="C327" s="11" t="s">
        <v>992</v>
      </c>
      <c r="D327" s="12">
        <v>53</v>
      </c>
      <c r="E327" s="13" t="s">
        <v>993</v>
      </c>
      <c r="F327" s="11" t="s">
        <v>21</v>
      </c>
      <c r="G327" s="11" t="s">
        <v>22</v>
      </c>
      <c r="H327" s="35">
        <v>27800</v>
      </c>
      <c r="I327" s="35"/>
      <c r="J327" s="11" t="s">
        <v>29</v>
      </c>
      <c r="K327" s="14">
        <v>31</v>
      </c>
      <c r="L327" s="11" t="str">
        <f>IF(K327&lt;=10, "Baixo", IF(K327&lt;=25, "Médio", "Alto"))</f>
        <v>Alto</v>
      </c>
      <c r="M327" s="25" t="str">
        <f>IF(AND(L327="Alto", J327="Sim"), "Negada", "Passa")</f>
        <v>Negada</v>
      </c>
      <c r="N327" s="25" t="str">
        <f>IF(AND(I327&gt;50000, J327="Sim"), "Negada", "Passa")</f>
        <v>Passa</v>
      </c>
      <c r="O327" s="39">
        <v>97500</v>
      </c>
      <c r="P327" s="43">
        <f t="shared" si="5"/>
        <v>0</v>
      </c>
    </row>
    <row r="328" spans="1:16">
      <c r="A328" s="10" t="s">
        <v>17</v>
      </c>
      <c r="B328" s="11" t="s">
        <v>994</v>
      </c>
      <c r="C328" s="11" t="s">
        <v>995</v>
      </c>
      <c r="D328" s="12">
        <v>55</v>
      </c>
      <c r="E328" s="13" t="s">
        <v>996</v>
      </c>
      <c r="F328" s="11" t="s">
        <v>27</v>
      </c>
      <c r="G328" s="11" t="s">
        <v>28</v>
      </c>
      <c r="H328" s="35">
        <v>17400</v>
      </c>
      <c r="I328" s="35">
        <v>68000</v>
      </c>
      <c r="J328" s="11" t="s">
        <v>23</v>
      </c>
      <c r="K328" s="14">
        <v>40</v>
      </c>
      <c r="L328" s="11" t="str">
        <f>IF(K328&lt;=10, "Baixo", IF(K328&lt;=25, "Médio", "Alto"))</f>
        <v>Alto</v>
      </c>
      <c r="M328" s="25" t="str">
        <f>IF(AND(L328="Alto", J328="Sim"), "Negada", "Passa")</f>
        <v>Passa</v>
      </c>
      <c r="N328" s="25" t="str">
        <f>IF(AND(I328&gt;50000, J328="Sim"), "Negada", "Passa")</f>
        <v>Passa</v>
      </c>
      <c r="O328" s="39">
        <v>49500</v>
      </c>
      <c r="P328" s="43">
        <f t="shared" si="5"/>
        <v>53460</v>
      </c>
    </row>
    <row r="329" spans="1:16">
      <c r="A329" s="10" t="s">
        <v>17</v>
      </c>
      <c r="B329" s="11" t="s">
        <v>997</v>
      </c>
      <c r="C329" s="11" t="s">
        <v>998</v>
      </c>
      <c r="D329" s="12">
        <v>28</v>
      </c>
      <c r="E329" s="13" t="s">
        <v>999</v>
      </c>
      <c r="F329" s="11" t="s">
        <v>115</v>
      </c>
      <c r="G329" s="11" t="s">
        <v>116</v>
      </c>
      <c r="H329" s="35">
        <v>13400</v>
      </c>
      <c r="I329" s="35">
        <v>71000</v>
      </c>
      <c r="J329" s="15" t="s">
        <v>23</v>
      </c>
      <c r="K329" s="14">
        <v>32</v>
      </c>
      <c r="L329" s="11" t="str">
        <f>IF(K329&lt;=10, "Baixo", IF(K329&lt;=25, "Médio", "Alto"))</f>
        <v>Alto</v>
      </c>
      <c r="M329" s="25" t="str">
        <f>IF(AND(L329="Alto", J329="Sim"), "Negada", "Passa")</f>
        <v>Passa</v>
      </c>
      <c r="N329" s="25" t="str">
        <f>IF(AND(I329&gt;50000, J329="Sim"), "Negada", "Passa")</f>
        <v>Passa</v>
      </c>
      <c r="O329" s="39">
        <v>29500</v>
      </c>
      <c r="P329" s="43">
        <f t="shared" si="5"/>
        <v>31860.000000000004</v>
      </c>
    </row>
    <row r="330" spans="1:16">
      <c r="A330" s="10" t="s">
        <v>17</v>
      </c>
      <c r="B330" s="11" t="s">
        <v>1000</v>
      </c>
      <c r="C330" s="11" t="s">
        <v>1001</v>
      </c>
      <c r="D330" s="12">
        <v>74</v>
      </c>
      <c r="E330" s="13" t="s">
        <v>1002</v>
      </c>
      <c r="F330" s="11" t="s">
        <v>135</v>
      </c>
      <c r="G330" s="11" t="s">
        <v>93</v>
      </c>
      <c r="H330" s="35">
        <v>20700</v>
      </c>
      <c r="I330" s="35">
        <v>1500</v>
      </c>
      <c r="J330" s="11" t="s">
        <v>29</v>
      </c>
      <c r="K330" s="14">
        <v>33</v>
      </c>
      <c r="L330" s="11" t="str">
        <f>IF(K330&lt;=10, "Baixo", IF(K330&lt;=25, "Médio", "Alto"))</f>
        <v>Alto</v>
      </c>
      <c r="M330" s="25" t="str">
        <f>IF(AND(L330="Alto", J330="Sim"), "Negada", "Passa")</f>
        <v>Negada</v>
      </c>
      <c r="N330" s="25" t="str">
        <f>IF(AND(I330&gt;50000, J330="Sim"), "Negada", "Passa")</f>
        <v>Passa</v>
      </c>
      <c r="O330" s="39">
        <v>14000</v>
      </c>
      <c r="P330" s="43">
        <f t="shared" si="5"/>
        <v>0</v>
      </c>
    </row>
    <row r="331" spans="1:16">
      <c r="A331" s="10" t="s">
        <v>17</v>
      </c>
      <c r="B331" s="11" t="s">
        <v>1003</v>
      </c>
      <c r="C331" s="11" t="s">
        <v>1004</v>
      </c>
      <c r="D331" s="12">
        <v>27</v>
      </c>
      <c r="E331" s="13" t="s">
        <v>1005</v>
      </c>
      <c r="F331" s="11" t="s">
        <v>128</v>
      </c>
      <c r="G331" s="11" t="s">
        <v>28</v>
      </c>
      <c r="H331" s="35">
        <v>10700</v>
      </c>
      <c r="I331" s="35">
        <v>74000</v>
      </c>
      <c r="J331" s="11" t="s">
        <v>23</v>
      </c>
      <c r="K331" s="14">
        <v>40</v>
      </c>
      <c r="L331" s="11" t="str">
        <f>IF(K331&lt;=10, "Baixo", IF(K331&lt;=25, "Médio", "Alto"))</f>
        <v>Alto</v>
      </c>
      <c r="M331" s="25" t="str">
        <f>IF(AND(L331="Alto", J331="Sim"), "Negada", "Passa")</f>
        <v>Passa</v>
      </c>
      <c r="N331" s="25" t="str">
        <f>IF(AND(I331&gt;50000, J331="Sim"), "Negada", "Passa")</f>
        <v>Passa</v>
      </c>
      <c r="O331" s="39">
        <v>34500</v>
      </c>
      <c r="P331" s="43">
        <f t="shared" si="5"/>
        <v>37260</v>
      </c>
    </row>
    <row r="332" spans="1:16">
      <c r="A332" s="10" t="s">
        <v>17</v>
      </c>
      <c r="B332" s="11" t="s">
        <v>1003</v>
      </c>
      <c r="C332" s="11" t="s">
        <v>1006</v>
      </c>
      <c r="D332" s="12">
        <v>67</v>
      </c>
      <c r="E332" s="13" t="s">
        <v>1007</v>
      </c>
      <c r="F332" s="11" t="s">
        <v>192</v>
      </c>
      <c r="G332" s="11" t="s">
        <v>193</v>
      </c>
      <c r="H332" s="35">
        <v>6400</v>
      </c>
      <c r="I332" s="35">
        <v>45500</v>
      </c>
      <c r="J332" s="11" t="s">
        <v>23</v>
      </c>
      <c r="K332" s="14">
        <v>30</v>
      </c>
      <c r="L332" s="11" t="str">
        <f>IF(K332&lt;=10, "Baixo", IF(K332&lt;=25, "Médio", "Alto"))</f>
        <v>Alto</v>
      </c>
      <c r="M332" s="25" t="str">
        <f>IF(AND(L332="Alto", J332="Sim"), "Negada", "Passa")</f>
        <v>Passa</v>
      </c>
      <c r="N332" s="25" t="str">
        <f>IF(AND(I332&gt;50000, J332="Sim"), "Negada", "Passa")</f>
        <v>Passa</v>
      </c>
      <c r="O332" s="39">
        <v>17500</v>
      </c>
      <c r="P332" s="43">
        <f t="shared" si="5"/>
        <v>18900</v>
      </c>
    </row>
    <row r="333" spans="1:16">
      <c r="A333" s="10" t="s">
        <v>39</v>
      </c>
      <c r="B333" s="11" t="s">
        <v>1008</v>
      </c>
      <c r="C333" s="11" t="s">
        <v>1009</v>
      </c>
      <c r="D333" s="12">
        <v>65</v>
      </c>
      <c r="E333" s="13" t="s">
        <v>1010</v>
      </c>
      <c r="F333" s="11" t="s">
        <v>55</v>
      </c>
      <c r="G333" s="11" t="s">
        <v>56</v>
      </c>
      <c r="H333" s="35">
        <v>19800</v>
      </c>
      <c r="I333" s="35">
        <f>5*1000</f>
        <v>5000</v>
      </c>
      <c r="J333" s="11" t="s">
        <v>35</v>
      </c>
      <c r="K333" s="14"/>
      <c r="L333" s="11" t="str">
        <f>IF(K333&lt;=10, "Baixo", IF(K333&lt;=25, "Médio", "Alto"))</f>
        <v>Baixo</v>
      </c>
      <c r="M333" s="25" t="str">
        <f>IF(AND(L333="Alto", J333="Sim"), "Negada", "Passa")</f>
        <v>Passa</v>
      </c>
      <c r="N333" s="25" t="str">
        <f>IF(AND(I333&gt;50000, J333="Sim"), "Negada", "Passa")</f>
        <v>Passa</v>
      </c>
      <c r="O333" s="39"/>
      <c r="P333" s="43">
        <f t="shared" si="5"/>
        <v>0</v>
      </c>
    </row>
    <row r="334" spans="1:16">
      <c r="A334" s="10" t="s">
        <v>39</v>
      </c>
      <c r="B334" s="11" t="s">
        <v>1008</v>
      </c>
      <c r="C334" s="11" t="s">
        <v>1011</v>
      </c>
      <c r="D334" s="12">
        <v>65</v>
      </c>
      <c r="E334" s="13" t="s">
        <v>1012</v>
      </c>
      <c r="F334" s="15" t="s">
        <v>55</v>
      </c>
      <c r="G334" s="11" t="s">
        <v>56</v>
      </c>
      <c r="H334" s="35">
        <v>19800</v>
      </c>
      <c r="I334" s="35">
        <v>5000</v>
      </c>
      <c r="J334" s="11" t="s">
        <v>23</v>
      </c>
      <c r="K334" s="14">
        <v>8</v>
      </c>
      <c r="L334" s="11" t="str">
        <f>IF(K334&lt;=10, "Baixo", IF(K334&lt;=25, "Médio", "Alto"))</f>
        <v>Baixo</v>
      </c>
      <c r="M334" s="25" t="str">
        <f>IF(AND(L334="Alto", J334="Sim"), "Negada", "Passa")</f>
        <v>Passa</v>
      </c>
      <c r="N334" s="25" t="str">
        <f>IF(AND(I334&gt;50000, J334="Sim"), "Negada", "Passa")</f>
        <v>Passa</v>
      </c>
      <c r="O334" s="39">
        <v>11000</v>
      </c>
      <c r="P334" s="43">
        <f t="shared" si="5"/>
        <v>0</v>
      </c>
    </row>
    <row r="335" spans="1:16">
      <c r="A335" s="10" t="s">
        <v>17</v>
      </c>
      <c r="B335" s="11" t="s">
        <v>1013</v>
      </c>
      <c r="C335" s="11" t="s">
        <v>1014</v>
      </c>
      <c r="D335" s="12">
        <v>53</v>
      </c>
      <c r="E335" s="13" t="s">
        <v>1015</v>
      </c>
      <c r="F335" s="11" t="s">
        <v>192</v>
      </c>
      <c r="G335" s="11" t="s">
        <v>193</v>
      </c>
      <c r="H335" s="35">
        <v>22700</v>
      </c>
      <c r="I335" s="35">
        <v>62500</v>
      </c>
      <c r="J335" s="11" t="s">
        <v>23</v>
      </c>
      <c r="K335" s="14">
        <v>31</v>
      </c>
      <c r="L335" s="11" t="str">
        <f>IF(K335&lt;=10, "Baixo", IF(K335&lt;=25, "Médio", "Alto"))</f>
        <v>Alto</v>
      </c>
      <c r="M335" s="25" t="str">
        <f>IF(AND(L335="Alto", J335="Sim"), "Negada", "Passa")</f>
        <v>Passa</v>
      </c>
      <c r="N335" s="25" t="str">
        <f>IF(AND(I335&gt;50000, J335="Sim"), "Negada", "Passa")</f>
        <v>Passa</v>
      </c>
      <c r="O335" s="39">
        <v>83500</v>
      </c>
      <c r="P335" s="43">
        <f t="shared" si="5"/>
        <v>90180</v>
      </c>
    </row>
    <row r="336" spans="1:16">
      <c r="A336" s="10" t="s">
        <v>17</v>
      </c>
      <c r="B336" s="11" t="s">
        <v>1016</v>
      </c>
      <c r="C336" s="11" t="s">
        <v>1017</v>
      </c>
      <c r="D336" s="12"/>
      <c r="E336" s="13" t="s">
        <v>1018</v>
      </c>
      <c r="F336" s="11" t="s">
        <v>206</v>
      </c>
      <c r="G336" s="11" t="s">
        <v>34</v>
      </c>
      <c r="H336" s="35">
        <v>14000</v>
      </c>
      <c r="I336" s="35">
        <v>22000</v>
      </c>
      <c r="J336" s="11" t="s">
        <v>23</v>
      </c>
      <c r="K336" s="14">
        <v>11</v>
      </c>
      <c r="L336" s="11" t="str">
        <f>IF(K336&lt;=10, "Baixo", IF(K336&lt;=25, "Médio", "Alto"))</f>
        <v>Médio</v>
      </c>
      <c r="M336" s="25" t="str">
        <f>IF(AND(L336="Alto", J336="Sim"), "Negada", "Passa")</f>
        <v>Passa</v>
      </c>
      <c r="N336" s="25" t="str">
        <f>IF(AND(I336&gt;50000, J336="Sim"), "Negada", "Passa")</f>
        <v>Passa</v>
      </c>
      <c r="O336" s="39">
        <v>28500</v>
      </c>
      <c r="P336" s="43">
        <f t="shared" si="5"/>
        <v>30780.000000000004</v>
      </c>
    </row>
    <row r="337" spans="1:16">
      <c r="A337" s="10" t="s">
        <v>17</v>
      </c>
      <c r="B337" s="11" t="s">
        <v>1019</v>
      </c>
      <c r="C337" s="11" t="s">
        <v>1020</v>
      </c>
      <c r="D337" s="12">
        <v>39</v>
      </c>
      <c r="E337" s="13" t="s">
        <v>1021</v>
      </c>
      <c r="F337" s="11" t="s">
        <v>60</v>
      </c>
      <c r="G337" s="11" t="s">
        <v>61</v>
      </c>
      <c r="H337" s="35">
        <v>13200</v>
      </c>
      <c r="I337" s="35">
        <v>71000</v>
      </c>
      <c r="J337" s="11" t="s">
        <v>23</v>
      </c>
      <c r="K337" s="14">
        <v>10</v>
      </c>
      <c r="L337" s="11" t="str">
        <f>IF(K337&lt;=10, "Baixo", IF(K337&lt;=25, "Médio", "Alto"))</f>
        <v>Baixo</v>
      </c>
      <c r="M337" s="25" t="str">
        <f>IF(AND(L337="Alto", J337="Sim"), "Negada", "Passa")</f>
        <v>Passa</v>
      </c>
      <c r="N337" s="25" t="str">
        <f>IF(AND(I337&gt;50000, J337="Sim"), "Negada", "Passa")</f>
        <v>Passa</v>
      </c>
      <c r="O337" s="39">
        <v>91500</v>
      </c>
      <c r="P337" s="43">
        <f t="shared" si="5"/>
        <v>98820</v>
      </c>
    </row>
    <row r="338" spans="1:16">
      <c r="A338" s="10" t="s">
        <v>17</v>
      </c>
      <c r="B338" s="11" t="s">
        <v>1019</v>
      </c>
      <c r="C338" s="11" t="s">
        <v>1022</v>
      </c>
      <c r="D338" s="12">
        <v>41</v>
      </c>
      <c r="E338" s="13" t="s">
        <v>1023</v>
      </c>
      <c r="F338" s="11" t="s">
        <v>131</v>
      </c>
      <c r="G338" s="11" t="s">
        <v>56</v>
      </c>
      <c r="H338" s="35">
        <v>26500</v>
      </c>
      <c r="I338" s="35">
        <v>60500</v>
      </c>
      <c r="J338" s="11" t="s">
        <v>35</v>
      </c>
      <c r="K338" s="14"/>
      <c r="L338" s="11" t="str">
        <f>IF(K338&lt;=10, "Baixo", IF(K338&lt;=25, "Médio", "Alto"))</f>
        <v>Baixo</v>
      </c>
      <c r="M338" s="25" t="str">
        <f>IF(AND(L338="Alto", J338="Sim"), "Negada", "Passa")</f>
        <v>Passa</v>
      </c>
      <c r="N338" s="25" t="str">
        <f>IF(AND(I338&gt;50000, J338="Sim"), "Negada", "Passa")</f>
        <v>Passa</v>
      </c>
      <c r="O338" s="39"/>
      <c r="P338" s="43">
        <f t="shared" si="5"/>
        <v>0</v>
      </c>
    </row>
    <row r="339" spans="1:16">
      <c r="A339" s="10" t="s">
        <v>17</v>
      </c>
      <c r="B339" s="11" t="s">
        <v>1024</v>
      </c>
      <c r="C339" s="11" t="s">
        <v>1025</v>
      </c>
      <c r="D339" s="12">
        <v>27</v>
      </c>
      <c r="E339" s="13" t="s">
        <v>1026</v>
      </c>
      <c r="F339" s="11" t="s">
        <v>27</v>
      </c>
      <c r="G339" s="11" t="s">
        <v>28</v>
      </c>
      <c r="H339" s="35">
        <v>30000</v>
      </c>
      <c r="I339" s="35"/>
      <c r="J339" s="11" t="s">
        <v>35</v>
      </c>
      <c r="K339" s="14"/>
      <c r="L339" s="11" t="str">
        <f>IF(K339&lt;=10, "Baixo", IF(K339&lt;=25, "Médio", "Alto"))</f>
        <v>Baixo</v>
      </c>
      <c r="M339" s="25" t="str">
        <f>IF(AND(L339="Alto", J339="Sim"), "Negada", "Passa")</f>
        <v>Passa</v>
      </c>
      <c r="N339" s="25" t="str">
        <f>IF(AND(I339&gt;50000, J339="Sim"), "Negada", "Passa")</f>
        <v>Passa</v>
      </c>
      <c r="O339" s="39"/>
      <c r="P339" s="43">
        <f t="shared" si="5"/>
        <v>0</v>
      </c>
    </row>
    <row r="340" spans="1:16">
      <c r="A340" s="10" t="s">
        <v>17</v>
      </c>
      <c r="B340" s="11" t="s">
        <v>1027</v>
      </c>
      <c r="C340" s="11" t="s">
        <v>1028</v>
      </c>
      <c r="D340" s="12"/>
      <c r="E340" s="13" t="s">
        <v>1029</v>
      </c>
      <c r="F340" s="11" t="s">
        <v>60</v>
      </c>
      <c r="G340" s="11" t="s">
        <v>61</v>
      </c>
      <c r="H340" s="35">
        <v>20200</v>
      </c>
      <c r="I340" s="35">
        <v>65000</v>
      </c>
      <c r="J340" s="11" t="s">
        <v>29</v>
      </c>
      <c r="K340" s="14">
        <v>29</v>
      </c>
      <c r="L340" s="11" t="str">
        <f>IF(K340&lt;=10, "Baixo", IF(K340&lt;=25, "Médio", "Alto"))</f>
        <v>Alto</v>
      </c>
      <c r="M340" s="25" t="str">
        <f>IF(AND(L340="Alto", J340="Sim"), "Negada", "Passa")</f>
        <v>Negada</v>
      </c>
      <c r="N340" s="25" t="str">
        <f>IF(AND(I340&gt;50000, J340="Sim"), "Negada", "Passa")</f>
        <v>Negada</v>
      </c>
      <c r="O340" s="39">
        <v>12000</v>
      </c>
      <c r="P340" s="43">
        <f t="shared" si="5"/>
        <v>0</v>
      </c>
    </row>
    <row r="341" spans="1:16">
      <c r="A341" s="10" t="s">
        <v>17</v>
      </c>
      <c r="B341" s="11" t="s">
        <v>1027</v>
      </c>
      <c r="C341" s="11" t="s">
        <v>1030</v>
      </c>
      <c r="D341" s="12">
        <v>51</v>
      </c>
      <c r="E341" s="13" t="s">
        <v>1031</v>
      </c>
      <c r="F341" s="11" t="s">
        <v>46</v>
      </c>
      <c r="G341" s="11" t="s">
        <v>46</v>
      </c>
      <c r="H341" s="35">
        <v>26000</v>
      </c>
      <c r="I341" s="35"/>
      <c r="J341" s="11" t="s">
        <v>23</v>
      </c>
      <c r="K341" s="14">
        <v>19</v>
      </c>
      <c r="L341" s="11" t="str">
        <f>IF(K341&lt;=10, "Baixo", IF(K341&lt;=25, "Médio", "Alto"))</f>
        <v>Médio</v>
      </c>
      <c r="M341" s="25" t="str">
        <f>IF(AND(L341="Alto", J341="Sim"), "Negada", "Passa")</f>
        <v>Passa</v>
      </c>
      <c r="N341" s="25" t="str">
        <f>IF(AND(I341&gt;50000, J341="Sim"), "Negada", "Passa")</f>
        <v>Passa</v>
      </c>
      <c r="O341" s="39">
        <v>90000</v>
      </c>
      <c r="P341" s="43">
        <f t="shared" si="5"/>
        <v>97200</v>
      </c>
    </row>
    <row r="342" spans="1:16">
      <c r="A342" s="10" t="s">
        <v>17</v>
      </c>
      <c r="B342" s="11" t="s">
        <v>1032</v>
      </c>
      <c r="C342" s="11" t="s">
        <v>1033</v>
      </c>
      <c r="D342" s="12">
        <v>33</v>
      </c>
      <c r="E342" s="13" t="s">
        <v>1034</v>
      </c>
      <c r="F342" s="11" t="s">
        <v>21</v>
      </c>
      <c r="G342" s="11" t="s">
        <v>22</v>
      </c>
      <c r="H342" s="35">
        <v>28700</v>
      </c>
      <c r="I342" s="35"/>
      <c r="J342" s="11" t="s">
        <v>35</v>
      </c>
      <c r="K342" s="14"/>
      <c r="L342" s="11" t="str">
        <f>IF(K342&lt;=10, "Baixo", IF(K342&lt;=25, "Médio", "Alto"))</f>
        <v>Baixo</v>
      </c>
      <c r="M342" s="25" t="str">
        <f>IF(AND(L342="Alto", J342="Sim"), "Negada", "Passa")</f>
        <v>Passa</v>
      </c>
      <c r="N342" s="25" t="str">
        <f>IF(AND(I342&gt;50000, J342="Sim"), "Negada", "Passa")</f>
        <v>Passa</v>
      </c>
      <c r="O342" s="39"/>
      <c r="P342" s="43">
        <f t="shared" si="5"/>
        <v>0</v>
      </c>
    </row>
    <row r="343" spans="1:16">
      <c r="A343" s="10" t="s">
        <v>39</v>
      </c>
      <c r="B343" s="11" t="s">
        <v>1035</v>
      </c>
      <c r="C343" s="11" t="s">
        <v>1036</v>
      </c>
      <c r="D343" s="12">
        <v>63</v>
      </c>
      <c r="E343" s="13" t="s">
        <v>1037</v>
      </c>
      <c r="F343" s="11" t="s">
        <v>60</v>
      </c>
      <c r="G343" s="11" t="s">
        <v>61</v>
      </c>
      <c r="H343" s="35">
        <v>20000</v>
      </c>
      <c r="I343" s="35">
        <v>4000</v>
      </c>
      <c r="J343" s="11" t="s">
        <v>23</v>
      </c>
      <c r="K343" s="14">
        <v>30</v>
      </c>
      <c r="L343" s="11" t="str">
        <f>IF(K343&lt;=10, "Baixo", IF(K343&lt;=25, "Médio", "Alto"))</f>
        <v>Alto</v>
      </c>
      <c r="M343" s="25" t="str">
        <f>IF(AND(L343="Alto", J343="Sim"), "Negada", "Passa")</f>
        <v>Passa</v>
      </c>
      <c r="N343" s="25" t="str">
        <f>IF(AND(I343&gt;50000, J343="Sim"), "Negada", "Passa")</f>
        <v>Passa</v>
      </c>
      <c r="O343" s="39">
        <v>38500</v>
      </c>
      <c r="P343" s="43">
        <f t="shared" si="5"/>
        <v>0</v>
      </c>
    </row>
    <row r="344" spans="1:16">
      <c r="A344" s="10" t="s">
        <v>39</v>
      </c>
      <c r="B344" s="11" t="s">
        <v>1038</v>
      </c>
      <c r="C344" s="11" t="s">
        <v>1039</v>
      </c>
      <c r="D344" s="12">
        <v>58</v>
      </c>
      <c r="E344" s="13" t="s">
        <v>1040</v>
      </c>
      <c r="F344" s="11" t="s">
        <v>60</v>
      </c>
      <c r="G344" s="11" t="s">
        <v>61</v>
      </c>
      <c r="H344" s="35">
        <v>12500</v>
      </c>
      <c r="I344" s="35">
        <v>72500</v>
      </c>
      <c r="J344" s="11" t="s">
        <v>23</v>
      </c>
      <c r="K344" s="14">
        <v>32</v>
      </c>
      <c r="L344" s="11" t="str">
        <f>IF(K344&lt;=10, "Baixo", IF(K344&lt;=25, "Médio", "Alto"))</f>
        <v>Alto</v>
      </c>
      <c r="M344" s="25" t="str">
        <f>IF(AND(L344="Alto", J344="Sim"), "Negada", "Passa")</f>
        <v>Passa</v>
      </c>
      <c r="N344" s="25" t="str">
        <f>IF(AND(I344&gt;50000, J344="Sim"), "Negada", "Passa")</f>
        <v>Passa</v>
      </c>
      <c r="O344" s="39">
        <v>97000</v>
      </c>
      <c r="P344" s="43">
        <f t="shared" si="5"/>
        <v>0</v>
      </c>
    </row>
    <row r="345" spans="1:16">
      <c r="A345" s="10" t="s">
        <v>17</v>
      </c>
      <c r="B345" s="11" t="s">
        <v>1041</v>
      </c>
      <c r="C345" s="11" t="s">
        <v>1042</v>
      </c>
      <c r="D345" s="12">
        <v>42</v>
      </c>
      <c r="E345" s="13" t="s">
        <v>1043</v>
      </c>
      <c r="F345" s="11" t="s">
        <v>55</v>
      </c>
      <c r="G345" s="11" t="s">
        <v>56</v>
      </c>
      <c r="H345" s="35">
        <v>20400</v>
      </c>
      <c r="I345" s="35">
        <v>3500</v>
      </c>
      <c r="J345" s="11" t="s">
        <v>35</v>
      </c>
      <c r="K345" s="14">
        <v>25</v>
      </c>
      <c r="L345" s="11" t="str">
        <f>IF(K345&lt;=10, "Baixo", IF(K345&lt;=25, "Médio", "Alto"))</f>
        <v>Médio</v>
      </c>
      <c r="M345" s="25" t="str">
        <f>IF(AND(L345="Alto", J345="Sim"), "Negada", "Passa")</f>
        <v>Passa</v>
      </c>
      <c r="N345" s="25" t="str">
        <f>IF(AND(I345&gt;50000, J345="Sim"), "Negada", "Passa")</f>
        <v>Passa</v>
      </c>
      <c r="O345" s="39">
        <v>35000</v>
      </c>
      <c r="P345" s="43">
        <f t="shared" si="5"/>
        <v>37800</v>
      </c>
    </row>
    <row r="346" spans="1:16">
      <c r="A346" s="10" t="s">
        <v>17</v>
      </c>
      <c r="B346" s="11" t="s">
        <v>1044</v>
      </c>
      <c r="C346" s="11" t="s">
        <v>1045</v>
      </c>
      <c r="D346" s="12">
        <v>55</v>
      </c>
      <c r="E346" s="13" t="s">
        <v>1046</v>
      </c>
      <c r="F346" s="11" t="s">
        <v>233</v>
      </c>
      <c r="G346" s="11" t="s">
        <v>234</v>
      </c>
      <c r="H346" s="35">
        <v>27500</v>
      </c>
      <c r="I346" s="35"/>
      <c r="J346" s="15" t="s">
        <v>23</v>
      </c>
      <c r="K346" s="14">
        <v>20</v>
      </c>
      <c r="L346" s="11" t="str">
        <f>IF(K346&lt;=10, "Baixo", IF(K346&lt;=25, "Médio", "Alto"))</f>
        <v>Médio</v>
      </c>
      <c r="M346" s="25" t="str">
        <f>IF(AND(L346="Alto", J346="Sim"), "Negada", "Passa")</f>
        <v>Passa</v>
      </c>
      <c r="N346" s="25" t="str">
        <f>IF(AND(I346&gt;50000, J346="Sim"), "Negada", "Passa")</f>
        <v>Passa</v>
      </c>
      <c r="O346" s="39">
        <f>3.1*1000</f>
        <v>3100</v>
      </c>
      <c r="P346" s="43">
        <f t="shared" si="5"/>
        <v>3348</v>
      </c>
    </row>
    <row r="347" spans="1:16">
      <c r="A347" s="10" t="s">
        <v>17</v>
      </c>
      <c r="B347" s="11" t="s">
        <v>1047</v>
      </c>
      <c r="C347" s="11" t="s">
        <v>1048</v>
      </c>
      <c r="D347" s="12">
        <v>34</v>
      </c>
      <c r="E347" s="13" t="s">
        <v>1049</v>
      </c>
      <c r="F347" s="11" t="s">
        <v>46</v>
      </c>
      <c r="G347" s="11" t="s">
        <v>46</v>
      </c>
      <c r="H347" s="35">
        <v>28900</v>
      </c>
      <c r="I347" s="35"/>
      <c r="J347" s="11" t="s">
        <v>35</v>
      </c>
      <c r="K347" s="14"/>
      <c r="L347" s="11" t="str">
        <f>IF(K347&lt;=10, "Baixo", IF(K347&lt;=25, "Médio", "Alto"))</f>
        <v>Baixo</v>
      </c>
      <c r="M347" s="25" t="str">
        <f>IF(AND(L347="Alto", J347="Sim"), "Negada", "Passa")</f>
        <v>Passa</v>
      </c>
      <c r="N347" s="25" t="str">
        <f>IF(AND(I347&gt;50000, J347="Sim"), "Negada", "Passa")</f>
        <v>Passa</v>
      </c>
      <c r="O347" s="39"/>
      <c r="P347" s="43">
        <f t="shared" si="5"/>
        <v>0</v>
      </c>
    </row>
    <row r="348" spans="1:16">
      <c r="A348" s="10" t="s">
        <v>17</v>
      </c>
      <c r="B348" s="11" t="s">
        <v>1050</v>
      </c>
      <c r="C348" s="11" t="s">
        <v>1051</v>
      </c>
      <c r="D348" s="12">
        <v>39</v>
      </c>
      <c r="E348" s="13" t="s">
        <v>1052</v>
      </c>
      <c r="F348" s="11" t="s">
        <v>33</v>
      </c>
      <c r="G348" s="11" t="s">
        <v>34</v>
      </c>
      <c r="H348" s="35">
        <v>8700</v>
      </c>
      <c r="I348" s="35">
        <v>40500</v>
      </c>
      <c r="J348" s="11" t="s">
        <v>23</v>
      </c>
      <c r="K348" s="14">
        <v>35</v>
      </c>
      <c r="L348" s="11" t="str">
        <f>IF(K348&lt;=10, "Baixo", IF(K348&lt;=25, "Médio", "Alto"))</f>
        <v>Alto</v>
      </c>
      <c r="M348" s="25" t="str">
        <f>IF(AND(L348="Alto", J348="Sim"), "Negada", "Passa")</f>
        <v>Passa</v>
      </c>
      <c r="N348" s="25" t="str">
        <f>IF(AND(I348&gt;50000, J348="Sim"), "Negada", "Passa")</f>
        <v>Passa</v>
      </c>
      <c r="O348" s="39">
        <v>53000</v>
      </c>
      <c r="P348" s="43">
        <f t="shared" si="5"/>
        <v>57240.000000000007</v>
      </c>
    </row>
    <row r="349" spans="1:16">
      <c r="A349" s="10" t="s">
        <v>39</v>
      </c>
      <c r="B349" s="11" t="s">
        <v>1053</v>
      </c>
      <c r="C349" s="11" t="s">
        <v>1054</v>
      </c>
      <c r="D349" s="12">
        <v>67</v>
      </c>
      <c r="E349" s="13" t="s">
        <v>1055</v>
      </c>
      <c r="F349" s="11" t="s">
        <v>192</v>
      </c>
      <c r="G349" s="11" t="s">
        <v>193</v>
      </c>
      <c r="H349" s="35">
        <v>15200</v>
      </c>
      <c r="I349" s="35">
        <v>17500</v>
      </c>
      <c r="J349" s="11" t="s">
        <v>35</v>
      </c>
      <c r="K349" s="14">
        <v>35</v>
      </c>
      <c r="L349" s="11" t="str">
        <f>IF(K349&lt;=10, "Baixo", IF(K349&lt;=25, "Médio", "Alto"))</f>
        <v>Alto</v>
      </c>
      <c r="M349" s="25" t="str">
        <f>IF(AND(L349="Alto", J349="Sim"), "Negada", "Passa")</f>
        <v>Passa</v>
      </c>
      <c r="N349" s="25" t="str">
        <f>IF(AND(I349&gt;50000, J349="Sim"), "Negada", "Passa")</f>
        <v>Passa</v>
      </c>
      <c r="O349" s="39"/>
      <c r="P349" s="43">
        <f t="shared" si="5"/>
        <v>0</v>
      </c>
    </row>
    <row r="350" spans="1:16">
      <c r="A350" s="10" t="s">
        <v>39</v>
      </c>
      <c r="B350" s="11" t="s">
        <v>1056</v>
      </c>
      <c r="C350" s="11" t="s">
        <v>1057</v>
      </c>
      <c r="D350" s="12">
        <v>51</v>
      </c>
      <c r="E350" s="13" t="s">
        <v>88</v>
      </c>
      <c r="F350" s="11" t="s">
        <v>363</v>
      </c>
      <c r="G350" s="11" t="s">
        <v>28</v>
      </c>
      <c r="H350" s="35">
        <v>11400</v>
      </c>
      <c r="I350" s="35">
        <v>30500</v>
      </c>
      <c r="J350" s="11" t="s">
        <v>23</v>
      </c>
      <c r="K350" s="14">
        <v>34</v>
      </c>
      <c r="L350" s="11" t="str">
        <f>IF(K350&lt;=10, "Baixo", IF(K350&lt;=25, "Médio", "Alto"))</f>
        <v>Alto</v>
      </c>
      <c r="M350" s="25" t="str">
        <f>IF(AND(L350="Alto", J350="Sim"), "Negada", "Passa")</f>
        <v>Passa</v>
      </c>
      <c r="N350" s="25" t="str">
        <f>IF(AND(I350&gt;50000, J350="Sim"), "Negada", "Passa")</f>
        <v>Passa</v>
      </c>
      <c r="O350" s="39">
        <v>87500</v>
      </c>
      <c r="P350" s="43">
        <f t="shared" si="5"/>
        <v>0</v>
      </c>
    </row>
    <row r="351" spans="1:16">
      <c r="A351" s="10" t="s">
        <v>17</v>
      </c>
      <c r="B351" s="11" t="s">
        <v>1058</v>
      </c>
      <c r="C351" s="11" t="s">
        <v>1059</v>
      </c>
      <c r="D351" s="12">
        <v>41</v>
      </c>
      <c r="E351" s="13" t="s">
        <v>1060</v>
      </c>
      <c r="F351" s="11" t="s">
        <v>115</v>
      </c>
      <c r="G351" s="11" t="s">
        <v>116</v>
      </c>
      <c r="H351" s="35">
        <v>28600</v>
      </c>
      <c r="I351" s="35">
        <v>59000</v>
      </c>
      <c r="J351" s="11" t="s">
        <v>35</v>
      </c>
      <c r="K351" s="14"/>
      <c r="L351" s="11" t="str">
        <f>IF(K351&lt;=10, "Baixo", IF(K351&lt;=25, "Médio", "Alto"))</f>
        <v>Baixo</v>
      </c>
      <c r="M351" s="25" t="str">
        <f>IF(AND(L351="Alto", J351="Sim"), "Negada", "Passa")</f>
        <v>Passa</v>
      </c>
      <c r="N351" s="25" t="str">
        <f>IF(AND(I351&gt;50000, J351="Sim"), "Negada", "Passa")</f>
        <v>Passa</v>
      </c>
      <c r="O351" s="39"/>
      <c r="P351" s="43">
        <f t="shared" si="5"/>
        <v>0</v>
      </c>
    </row>
    <row r="352" spans="1:16">
      <c r="A352" s="10" t="s">
        <v>17</v>
      </c>
      <c r="B352" s="11" t="s">
        <v>1061</v>
      </c>
      <c r="C352" s="11" t="s">
        <v>1062</v>
      </c>
      <c r="D352" s="12">
        <v>24</v>
      </c>
      <c r="E352" s="13" t="s">
        <v>1063</v>
      </c>
      <c r="F352" s="11" t="s">
        <v>50</v>
      </c>
      <c r="G352" s="11" t="s">
        <v>51</v>
      </c>
      <c r="H352" s="35">
        <v>16900</v>
      </c>
      <c r="I352" s="35">
        <v>14500</v>
      </c>
      <c r="J352" s="11" t="s">
        <v>29</v>
      </c>
      <c r="K352" s="14">
        <v>9</v>
      </c>
      <c r="L352" s="11" t="str">
        <f>IF(K352&lt;=10, "Baixo", IF(K352&lt;=25, "Médio", "Alto"))</f>
        <v>Baixo</v>
      </c>
      <c r="M352" s="25" t="str">
        <f>IF(AND(L352="Alto", J352="Sim"), "Negada", "Passa")</f>
        <v>Passa</v>
      </c>
      <c r="N352" s="25" t="str">
        <f>IF(AND(I352&gt;50000, J352="Sim"), "Negada", "Passa")</f>
        <v>Passa</v>
      </c>
      <c r="O352" s="39">
        <v>17500</v>
      </c>
      <c r="P352" s="43">
        <f t="shared" si="5"/>
        <v>18900</v>
      </c>
    </row>
    <row r="353" spans="1:16">
      <c r="A353" s="10" t="s">
        <v>17</v>
      </c>
      <c r="B353" s="11" t="s">
        <v>1064</v>
      </c>
      <c r="C353" s="11" t="s">
        <v>1065</v>
      </c>
      <c r="D353" s="12">
        <v>71</v>
      </c>
      <c r="E353" s="13" t="s">
        <v>1066</v>
      </c>
      <c r="F353" s="11" t="s">
        <v>363</v>
      </c>
      <c r="G353" s="11" t="s">
        <v>28</v>
      </c>
      <c r="H353" s="35">
        <v>24100</v>
      </c>
      <c r="I353" s="35"/>
      <c r="J353" s="11" t="s">
        <v>29</v>
      </c>
      <c r="K353" s="14">
        <v>4</v>
      </c>
      <c r="L353" s="11" t="str">
        <f>IF(K353&lt;=10, "Baixo", IF(K353&lt;=25, "Médio", "Alto"))</f>
        <v>Baixo</v>
      </c>
      <c r="M353" s="25" t="str">
        <f>IF(AND(L353="Alto", J353="Sim"), "Negada", "Passa")</f>
        <v>Passa</v>
      </c>
      <c r="N353" s="25" t="str">
        <f>IF(AND(I353&gt;50000, J353="Sim"), "Negada", "Passa")</f>
        <v>Passa</v>
      </c>
      <c r="O353" s="39">
        <v>54500</v>
      </c>
      <c r="P353" s="43">
        <f t="shared" si="5"/>
        <v>58860.000000000007</v>
      </c>
    </row>
    <row r="354" spans="1:16">
      <c r="A354" s="10" t="s">
        <v>17</v>
      </c>
      <c r="B354" s="11" t="s">
        <v>1067</v>
      </c>
      <c r="C354" s="11" t="s">
        <v>1068</v>
      </c>
      <c r="D354" s="12">
        <v>42</v>
      </c>
      <c r="E354" s="13" t="s">
        <v>1069</v>
      </c>
      <c r="F354" s="11" t="s">
        <v>97</v>
      </c>
      <c r="G354" s="11" t="s">
        <v>56</v>
      </c>
      <c r="H354" s="35">
        <v>18500</v>
      </c>
      <c r="I354" s="35">
        <v>7500</v>
      </c>
      <c r="J354" s="11" t="s">
        <v>23</v>
      </c>
      <c r="K354" s="14">
        <v>12</v>
      </c>
      <c r="L354" s="11" t="str">
        <f>IF(K354&lt;=10, "Baixo", IF(K354&lt;=25, "Médio", "Alto"))</f>
        <v>Médio</v>
      </c>
      <c r="M354" s="25" t="str">
        <f>IF(AND(L354="Alto", J354="Sim"), "Negada", "Passa")</f>
        <v>Passa</v>
      </c>
      <c r="N354" s="25" t="str">
        <f>IF(AND(I354&gt;50000, J354="Sim"), "Negada", "Passa")</f>
        <v>Passa</v>
      </c>
      <c r="O354" s="39">
        <v>73000</v>
      </c>
      <c r="P354" s="43">
        <f t="shared" si="5"/>
        <v>78840</v>
      </c>
    </row>
    <row r="355" spans="1:16">
      <c r="A355" s="10" t="s">
        <v>17</v>
      </c>
      <c r="B355" s="15" t="s">
        <v>1070</v>
      </c>
      <c r="C355" s="11" t="s">
        <v>1071</v>
      </c>
      <c r="D355" s="12">
        <v>50</v>
      </c>
      <c r="E355" s="13" t="s">
        <v>35</v>
      </c>
      <c r="F355" s="11" t="s">
        <v>33</v>
      </c>
      <c r="G355" s="11" t="s">
        <v>34</v>
      </c>
      <c r="H355" s="35">
        <v>2310000</v>
      </c>
      <c r="I355" s="35"/>
      <c r="J355" s="11" t="s">
        <v>35</v>
      </c>
      <c r="K355" s="14"/>
      <c r="L355" s="11" t="str">
        <f>IF(K355&lt;=10, "Baixo", IF(K355&lt;=25, "Médio", "Alto"))</f>
        <v>Baixo</v>
      </c>
      <c r="M355" s="25" t="str">
        <f>IF(AND(L355="Alto", J355="Sim"), "Negada", "Passa")</f>
        <v>Passa</v>
      </c>
      <c r="N355" s="25" t="str">
        <f>IF(AND(I355&gt;50000, J355="Sim"), "Negada", "Passa")</f>
        <v>Passa</v>
      </c>
      <c r="O355" s="39"/>
      <c r="P355" s="43">
        <f t="shared" si="5"/>
        <v>0</v>
      </c>
    </row>
    <row r="356" spans="1:16">
      <c r="A356" s="10" t="s">
        <v>39</v>
      </c>
      <c r="B356" s="11" t="s">
        <v>1072</v>
      </c>
      <c r="C356" s="11" t="s">
        <v>1073</v>
      </c>
      <c r="D356" s="12">
        <v>54</v>
      </c>
      <c r="E356" s="13" t="s">
        <v>1074</v>
      </c>
      <c r="F356" s="11" t="s">
        <v>192</v>
      </c>
      <c r="G356" s="11" t="s">
        <v>193</v>
      </c>
      <c r="H356" s="35">
        <v>3900</v>
      </c>
      <c r="I356" s="35">
        <v>50500</v>
      </c>
      <c r="J356" s="11" t="s">
        <v>23</v>
      </c>
      <c r="K356" s="14">
        <v>16</v>
      </c>
      <c r="L356" s="11" t="str">
        <f>IF(K356&lt;=10, "Baixo", IF(K356&lt;=25, "Médio", "Alto"))</f>
        <v>Médio</v>
      </c>
      <c r="M356" s="25" t="str">
        <f>IF(AND(L356="Alto", J356="Sim"), "Negada", "Passa")</f>
        <v>Passa</v>
      </c>
      <c r="N356" s="25" t="str">
        <f>IF(AND(I356&gt;50000, J356="Sim"), "Negada", "Passa")</f>
        <v>Passa</v>
      </c>
      <c r="O356" s="39">
        <v>41500</v>
      </c>
      <c r="P356" s="43">
        <f t="shared" si="5"/>
        <v>0</v>
      </c>
    </row>
    <row r="357" spans="1:16">
      <c r="A357" s="10" t="s">
        <v>17</v>
      </c>
      <c r="B357" s="11" t="s">
        <v>1075</v>
      </c>
      <c r="C357" s="11" t="s">
        <v>1076</v>
      </c>
      <c r="D357" s="12">
        <v>23</v>
      </c>
      <c r="E357" s="13" t="s">
        <v>1077</v>
      </c>
      <c r="F357" s="11" t="s">
        <v>82</v>
      </c>
      <c r="G357" s="11" t="s">
        <v>22</v>
      </c>
      <c r="H357" s="35">
        <v>2600</v>
      </c>
      <c r="I357" s="35">
        <v>55000</v>
      </c>
      <c r="J357" s="15" t="s">
        <v>23</v>
      </c>
      <c r="K357" s="14">
        <v>11</v>
      </c>
      <c r="L357" s="11" t="str">
        <f>IF(K357&lt;=10, "Baixo", IF(K357&lt;=25, "Médio", "Alto"))</f>
        <v>Médio</v>
      </c>
      <c r="M357" s="25" t="str">
        <f>IF(AND(L357="Alto", J357="Sim"), "Negada", "Passa")</f>
        <v>Passa</v>
      </c>
      <c r="N357" s="25" t="str">
        <f>IF(AND(I357&gt;50000, J357="Sim"), "Negada", "Passa")</f>
        <v>Passa</v>
      </c>
      <c r="O357" s="39">
        <v>33500</v>
      </c>
      <c r="P357" s="43">
        <f t="shared" si="5"/>
        <v>36180</v>
      </c>
    </row>
    <row r="358" spans="1:16">
      <c r="A358" s="10" t="s">
        <v>17</v>
      </c>
      <c r="B358" s="11" t="s">
        <v>1078</v>
      </c>
      <c r="C358" s="11" t="s">
        <v>1079</v>
      </c>
      <c r="D358" s="12">
        <v>56</v>
      </c>
      <c r="E358" s="13" t="s">
        <v>1080</v>
      </c>
      <c r="F358" s="11" t="s">
        <v>128</v>
      </c>
      <c r="G358" s="11" t="s">
        <v>28</v>
      </c>
      <c r="H358" s="35">
        <v>5400</v>
      </c>
      <c r="I358" s="35">
        <v>48500</v>
      </c>
      <c r="J358" s="15" t="s">
        <v>23</v>
      </c>
      <c r="K358" s="14">
        <v>6</v>
      </c>
      <c r="L358" s="11" t="str">
        <f>IF(K358&lt;=10, "Baixo", IF(K358&lt;=25, "Médio", "Alto"))</f>
        <v>Baixo</v>
      </c>
      <c r="M358" s="25" t="str">
        <f>IF(AND(L358="Alto", J358="Sim"), "Negada", "Passa")</f>
        <v>Passa</v>
      </c>
      <c r="N358" s="25" t="str">
        <f>IF(AND(I358&gt;50000, J358="Sim"), "Negada", "Passa")</f>
        <v>Passa</v>
      </c>
      <c r="O358" s="39">
        <v>62500</v>
      </c>
      <c r="P358" s="43">
        <f t="shared" si="5"/>
        <v>67500</v>
      </c>
    </row>
    <row r="359" spans="1:16">
      <c r="A359" s="10" t="s">
        <v>17</v>
      </c>
      <c r="B359" s="11" t="s">
        <v>1081</v>
      </c>
      <c r="C359" s="11" t="s">
        <v>1082</v>
      </c>
      <c r="D359" s="12">
        <v>47</v>
      </c>
      <c r="E359" s="13" t="s">
        <v>35</v>
      </c>
      <c r="F359" s="11" t="s">
        <v>82</v>
      </c>
      <c r="G359" s="11" t="s">
        <v>22</v>
      </c>
      <c r="H359" s="35">
        <v>11600</v>
      </c>
      <c r="I359" s="35">
        <v>29500</v>
      </c>
      <c r="J359" s="11" t="s">
        <v>35</v>
      </c>
      <c r="K359" s="14"/>
      <c r="L359" s="11" t="str">
        <f>IF(K359&lt;=10, "Baixo", IF(K359&lt;=25, "Médio", "Alto"))</f>
        <v>Baixo</v>
      </c>
      <c r="M359" s="25" t="str">
        <f>IF(AND(L359="Alto", J359="Sim"), "Negada", "Passa")</f>
        <v>Passa</v>
      </c>
      <c r="N359" s="25" t="str">
        <f>IF(AND(I359&gt;50000, J359="Sim"), "Negada", "Passa")</f>
        <v>Passa</v>
      </c>
      <c r="O359" s="39"/>
      <c r="P359" s="43">
        <f t="shared" si="5"/>
        <v>0</v>
      </c>
    </row>
    <row r="360" spans="1:16">
      <c r="A360" s="10" t="s">
        <v>17</v>
      </c>
      <c r="B360" s="11" t="s">
        <v>1083</v>
      </c>
      <c r="C360" s="11" t="s">
        <v>1084</v>
      </c>
      <c r="D360" s="12">
        <v>56</v>
      </c>
      <c r="E360" s="13" t="s">
        <v>1085</v>
      </c>
      <c r="F360" s="11" t="s">
        <v>131</v>
      </c>
      <c r="G360" s="11" t="s">
        <v>56</v>
      </c>
      <c r="H360" s="35">
        <v>14100</v>
      </c>
      <c r="I360" s="35">
        <v>22000</v>
      </c>
      <c r="J360" s="11" t="s">
        <v>23</v>
      </c>
      <c r="K360" s="14">
        <v>23</v>
      </c>
      <c r="L360" s="11" t="str">
        <f>IF(K360&lt;=10, "Baixo", IF(K360&lt;=25, "Médio", "Alto"))</f>
        <v>Médio</v>
      </c>
      <c r="M360" s="25" t="str">
        <f>IF(AND(L360="Alto", J360="Sim"), "Negada", "Passa")</f>
        <v>Passa</v>
      </c>
      <c r="N360" s="25" t="str">
        <f>IF(AND(I360&gt;50000, J360="Sim"), "Negada", "Passa")</f>
        <v>Passa</v>
      </c>
      <c r="O360" s="39">
        <v>90000</v>
      </c>
      <c r="P360" s="43">
        <f t="shared" si="5"/>
        <v>97200</v>
      </c>
    </row>
    <row r="361" spans="1:16">
      <c r="A361" s="10" t="s">
        <v>17</v>
      </c>
      <c r="B361" s="11" t="s">
        <v>1086</v>
      </c>
      <c r="C361" s="11" t="s">
        <v>1087</v>
      </c>
      <c r="D361" s="12">
        <v>28</v>
      </c>
      <c r="E361" s="13" t="s">
        <v>1088</v>
      </c>
      <c r="F361" s="11" t="s">
        <v>135</v>
      </c>
      <c r="G361" s="11" t="s">
        <v>93</v>
      </c>
      <c r="H361" s="35">
        <v>2000</v>
      </c>
      <c r="I361" s="35">
        <v>55500</v>
      </c>
      <c r="J361" s="11" t="s">
        <v>23</v>
      </c>
      <c r="K361" s="14">
        <v>32</v>
      </c>
      <c r="L361" s="11" t="str">
        <f>IF(K361&lt;=10, "Baixo", IF(K361&lt;=25, "Médio", "Alto"))</f>
        <v>Alto</v>
      </c>
      <c r="M361" s="25" t="str">
        <f>IF(AND(L361="Alto", J361="Sim"), "Negada", "Passa")</f>
        <v>Passa</v>
      </c>
      <c r="N361" s="25" t="str">
        <f>IF(AND(I361&gt;50000, J361="Sim"), "Negada", "Passa")</f>
        <v>Passa</v>
      </c>
      <c r="O361" s="39">
        <v>91500</v>
      </c>
      <c r="P361" s="43">
        <f t="shared" si="5"/>
        <v>98820</v>
      </c>
    </row>
    <row r="362" spans="1:16">
      <c r="A362" s="10" t="s">
        <v>17</v>
      </c>
      <c r="B362" s="11" t="s">
        <v>1089</v>
      </c>
      <c r="C362" s="11" t="s">
        <v>1090</v>
      </c>
      <c r="D362" s="12">
        <v>57</v>
      </c>
      <c r="E362" s="13" t="s">
        <v>1091</v>
      </c>
      <c r="F362" s="11" t="s">
        <v>206</v>
      </c>
      <c r="G362" s="11" t="s">
        <v>34</v>
      </c>
      <c r="H362" s="35">
        <v>3200</v>
      </c>
      <c r="I362" s="35">
        <v>54000</v>
      </c>
      <c r="J362" s="11" t="s">
        <v>23</v>
      </c>
      <c r="K362" s="14">
        <v>44</v>
      </c>
      <c r="L362" s="11" t="str">
        <f>IF(K362&lt;=10, "Baixo", IF(K362&lt;=25, "Médio", "Alto"))</f>
        <v>Alto</v>
      </c>
      <c r="M362" s="25" t="str">
        <f>IF(AND(L362="Alto", J362="Sim"), "Negada", "Passa")</f>
        <v>Passa</v>
      </c>
      <c r="N362" s="25" t="str">
        <f>IF(AND(I362&gt;50000, J362="Sim"), "Negada", "Passa")</f>
        <v>Passa</v>
      </c>
      <c r="O362" s="39">
        <v>18000</v>
      </c>
      <c r="P362" s="43">
        <f t="shared" si="5"/>
        <v>19440</v>
      </c>
    </row>
    <row r="363" spans="1:16">
      <c r="A363" s="10" t="s">
        <v>17</v>
      </c>
      <c r="B363" s="11" t="s">
        <v>1092</v>
      </c>
      <c r="C363" s="11" t="s">
        <v>1093</v>
      </c>
      <c r="D363" s="12">
        <v>67</v>
      </c>
      <c r="E363" s="13" t="s">
        <v>1094</v>
      </c>
      <c r="F363" s="11" t="s">
        <v>60</v>
      </c>
      <c r="G363" s="11" t="s">
        <v>61</v>
      </c>
      <c r="H363" s="35">
        <v>21600</v>
      </c>
      <c r="I363" s="35"/>
      <c r="J363" s="11" t="s">
        <v>23</v>
      </c>
      <c r="K363" s="14">
        <v>20</v>
      </c>
      <c r="L363" s="11" t="str">
        <f>IF(K363&lt;=10, "Baixo", IF(K363&lt;=25, "Médio", "Alto"))</f>
        <v>Médio</v>
      </c>
      <c r="M363" s="25" t="str">
        <f>IF(AND(L363="Alto", J363="Sim"), "Negada", "Passa")</f>
        <v>Passa</v>
      </c>
      <c r="N363" s="25" t="str">
        <f>IF(AND(I363&gt;50000, J363="Sim"), "Negada", "Passa")</f>
        <v>Passa</v>
      </c>
      <c r="O363" s="39">
        <v>42000</v>
      </c>
      <c r="P363" s="43">
        <f t="shared" si="5"/>
        <v>45360</v>
      </c>
    </row>
    <row r="364" spans="1:16">
      <c r="A364" s="10" t="s">
        <v>17</v>
      </c>
      <c r="B364" s="11" t="s">
        <v>1092</v>
      </c>
      <c r="C364" s="11" t="s">
        <v>1095</v>
      </c>
      <c r="D364" s="12">
        <v>60</v>
      </c>
      <c r="E364" s="13" t="s">
        <v>1096</v>
      </c>
      <c r="F364" s="11" t="s">
        <v>71</v>
      </c>
      <c r="G364" s="11" t="s">
        <v>72</v>
      </c>
      <c r="H364" s="35">
        <v>22600</v>
      </c>
      <c r="I364" s="35"/>
      <c r="J364" s="11" t="s">
        <v>23</v>
      </c>
      <c r="K364" s="14">
        <v>29</v>
      </c>
      <c r="L364" s="11" t="str">
        <f>IF(K364&lt;=10, "Baixo", IF(K364&lt;=25, "Médio", "Alto"))</f>
        <v>Alto</v>
      </c>
      <c r="M364" s="25" t="str">
        <f>IF(AND(L364="Alto", J364="Sim"), "Negada", "Passa")</f>
        <v>Passa</v>
      </c>
      <c r="N364" s="25" t="str">
        <f>IF(AND(I364&gt;50000, J364="Sim"), "Negada", "Passa")</f>
        <v>Passa</v>
      </c>
      <c r="O364" s="39">
        <v>92500</v>
      </c>
      <c r="P364" s="43">
        <f t="shared" si="5"/>
        <v>99900</v>
      </c>
    </row>
    <row r="365" spans="1:16">
      <c r="A365" s="10" t="s">
        <v>39</v>
      </c>
      <c r="B365" s="11" t="s">
        <v>1097</v>
      </c>
      <c r="C365" s="11" t="s">
        <v>35</v>
      </c>
      <c r="D365" s="12">
        <v>61</v>
      </c>
      <c r="E365" s="13" t="s">
        <v>1098</v>
      </c>
      <c r="F365" s="11" t="s">
        <v>33</v>
      </c>
      <c r="G365" s="11" t="s">
        <v>34</v>
      </c>
      <c r="H365" s="35">
        <v>4100</v>
      </c>
      <c r="I365" s="35">
        <v>50000</v>
      </c>
      <c r="J365" s="11" t="s">
        <v>23</v>
      </c>
      <c r="K365" s="14">
        <v>40</v>
      </c>
      <c r="L365" s="11" t="str">
        <f>IF(K365&lt;=10, "Baixo", IF(K365&lt;=25, "Médio", "Alto"))</f>
        <v>Alto</v>
      </c>
      <c r="M365" s="25" t="str">
        <f>IF(AND(L365="Alto", J365="Sim"), "Negada", "Passa")</f>
        <v>Passa</v>
      </c>
      <c r="N365" s="25" t="str">
        <f>IF(AND(I365&gt;50000, J365="Sim"), "Negada", "Passa")</f>
        <v>Passa</v>
      </c>
      <c r="O365" s="39">
        <v>46500</v>
      </c>
      <c r="P365" s="43">
        <f t="shared" si="5"/>
        <v>0</v>
      </c>
    </row>
    <row r="366" spans="1:16">
      <c r="A366" s="10" t="s">
        <v>17</v>
      </c>
      <c r="B366" s="11" t="s">
        <v>1099</v>
      </c>
      <c r="C366" s="11" t="s">
        <v>1100</v>
      </c>
      <c r="D366" s="12">
        <v>46</v>
      </c>
      <c r="E366" s="13" t="s">
        <v>1101</v>
      </c>
      <c r="F366" s="11" t="s">
        <v>21</v>
      </c>
      <c r="G366" s="11" t="s">
        <v>22</v>
      </c>
      <c r="H366" s="35">
        <v>3200</v>
      </c>
      <c r="I366" s="35">
        <v>54000</v>
      </c>
      <c r="J366" s="11" t="s">
        <v>35</v>
      </c>
      <c r="K366" s="14"/>
      <c r="L366" s="11" t="str">
        <f>IF(K366&lt;=10, "Baixo", IF(K366&lt;=25, "Médio", "Alto"))</f>
        <v>Baixo</v>
      </c>
      <c r="M366" s="25" t="str">
        <f>IF(AND(L366="Alto", J366="Sim"), "Negada", "Passa")</f>
        <v>Passa</v>
      </c>
      <c r="N366" s="25" t="str">
        <f>IF(AND(I366&gt;50000, J366="Sim"), "Negada", "Passa")</f>
        <v>Passa</v>
      </c>
      <c r="O366" s="39"/>
      <c r="P366" s="43">
        <f t="shared" si="5"/>
        <v>0</v>
      </c>
    </row>
    <row r="367" spans="1:16">
      <c r="A367" s="10" t="s">
        <v>17</v>
      </c>
      <c r="B367" s="11" t="s">
        <v>1102</v>
      </c>
      <c r="C367" s="11" t="s">
        <v>1103</v>
      </c>
      <c r="D367" s="12"/>
      <c r="E367" s="13" t="s">
        <v>1104</v>
      </c>
      <c r="F367" s="11" t="s">
        <v>27</v>
      </c>
      <c r="G367" s="11" t="s">
        <v>28</v>
      </c>
      <c r="H367" s="35">
        <v>18000</v>
      </c>
      <c r="I367" s="35">
        <f>9*1000</f>
        <v>9000</v>
      </c>
      <c r="J367" s="11" t="s">
        <v>35</v>
      </c>
      <c r="K367" s="14"/>
      <c r="L367" s="11" t="str">
        <f>IF(K367&lt;=10, "Baixo", IF(K367&lt;=25, "Médio", "Alto"))</f>
        <v>Baixo</v>
      </c>
      <c r="M367" s="25" t="str">
        <f>IF(AND(L367="Alto", J367="Sim"), "Negada", "Passa")</f>
        <v>Passa</v>
      </c>
      <c r="N367" s="25" t="str">
        <f>IF(AND(I367&gt;50000, J367="Sim"), "Negada", "Passa")</f>
        <v>Passa</v>
      </c>
      <c r="O367" s="39"/>
      <c r="P367" s="43">
        <f t="shared" si="5"/>
        <v>0</v>
      </c>
    </row>
    <row r="368" spans="1:16">
      <c r="A368" s="10" t="s">
        <v>39</v>
      </c>
      <c r="B368" s="11" t="s">
        <v>1105</v>
      </c>
      <c r="C368" s="11" t="s">
        <v>1106</v>
      </c>
      <c r="D368" s="12">
        <v>33</v>
      </c>
      <c r="E368" s="13" t="s">
        <v>1107</v>
      </c>
      <c r="F368" s="11" t="s">
        <v>319</v>
      </c>
      <c r="G368" s="11" t="s">
        <v>56</v>
      </c>
      <c r="H368" s="35">
        <v>25700</v>
      </c>
      <c r="I368" s="35"/>
      <c r="J368" s="11" t="s">
        <v>23</v>
      </c>
      <c r="K368" s="14">
        <v>42</v>
      </c>
      <c r="L368" s="11" t="str">
        <f>IF(K368&lt;=10, "Baixo", IF(K368&lt;=25, "Médio", "Alto"))</f>
        <v>Alto</v>
      </c>
      <c r="M368" s="25" t="str">
        <f>IF(AND(L368="Alto", J368="Sim"), "Negada", "Passa")</f>
        <v>Passa</v>
      </c>
      <c r="N368" s="25" t="str">
        <f>IF(AND(I368&gt;50000, J368="Sim"), "Negada", "Passa")</f>
        <v>Passa</v>
      </c>
      <c r="O368" s="39">
        <v>77000</v>
      </c>
      <c r="P368" s="43">
        <f t="shared" si="5"/>
        <v>0</v>
      </c>
    </row>
    <row r="369" spans="1:16">
      <c r="A369" s="10" t="s">
        <v>39</v>
      </c>
      <c r="B369" s="11" t="s">
        <v>1108</v>
      </c>
      <c r="C369" s="11" t="s">
        <v>1109</v>
      </c>
      <c r="D369" s="12">
        <v>59</v>
      </c>
      <c r="E369" s="13" t="s">
        <v>1110</v>
      </c>
      <c r="F369" s="11" t="s">
        <v>21</v>
      </c>
      <c r="G369" s="11" t="s">
        <v>22</v>
      </c>
      <c r="H369" s="35">
        <v>15200</v>
      </c>
      <c r="I369" s="35">
        <v>69000</v>
      </c>
      <c r="J369" s="11" t="s">
        <v>23</v>
      </c>
      <c r="K369" s="14">
        <v>20</v>
      </c>
      <c r="L369" s="11" t="str">
        <f>IF(K369&lt;=10, "Baixo", IF(K369&lt;=25, "Médio", "Alto"))</f>
        <v>Médio</v>
      </c>
      <c r="M369" s="25" t="str">
        <f>IF(AND(L369="Alto", J369="Sim"), "Negada", "Passa")</f>
        <v>Passa</v>
      </c>
      <c r="N369" s="25" t="str">
        <f>IF(AND(I369&gt;50000, J369="Sim"), "Negada", "Passa")</f>
        <v>Passa</v>
      </c>
      <c r="O369" s="39">
        <v>69000</v>
      </c>
      <c r="P369" s="43">
        <f t="shared" si="5"/>
        <v>0</v>
      </c>
    </row>
    <row r="370" spans="1:16">
      <c r="A370" s="10" t="s">
        <v>35</v>
      </c>
      <c r="B370" s="15" t="s">
        <v>1111</v>
      </c>
      <c r="C370" s="11" t="s">
        <v>1112</v>
      </c>
      <c r="D370" s="12">
        <v>61</v>
      </c>
      <c r="E370" s="13" t="s">
        <v>1113</v>
      </c>
      <c r="F370" s="11" t="s">
        <v>363</v>
      </c>
      <c r="G370" s="11" t="s">
        <v>28</v>
      </c>
      <c r="H370" s="35">
        <v>9100</v>
      </c>
      <c r="I370" s="35">
        <v>75500</v>
      </c>
      <c r="J370" s="11" t="s">
        <v>23</v>
      </c>
      <c r="K370" s="14">
        <v>16</v>
      </c>
      <c r="L370" s="11" t="str">
        <f>IF(K370&lt;=10, "Baixo", IF(K370&lt;=25, "Médio", "Alto"))</f>
        <v>Médio</v>
      </c>
      <c r="M370" s="25" t="str">
        <f>IF(AND(L370="Alto", J370="Sim"), "Negada", "Passa")</f>
        <v>Passa</v>
      </c>
      <c r="N370" s="25" t="str">
        <f>IF(AND(I370&gt;50000, J370="Sim"), "Negada", "Passa")</f>
        <v>Passa</v>
      </c>
      <c r="O370" s="39">
        <v>88000</v>
      </c>
      <c r="P370" s="43">
        <f t="shared" si="5"/>
        <v>0</v>
      </c>
    </row>
    <row r="371" spans="1:16">
      <c r="A371" s="10" t="s">
        <v>35</v>
      </c>
      <c r="B371" s="11" t="s">
        <v>1111</v>
      </c>
      <c r="C371" s="11" t="s">
        <v>1114</v>
      </c>
      <c r="D371" s="12">
        <v>54</v>
      </c>
      <c r="E371" s="13" t="s">
        <v>1115</v>
      </c>
      <c r="F371" s="11" t="s">
        <v>363</v>
      </c>
      <c r="G371" s="11" t="s">
        <v>28</v>
      </c>
      <c r="H371" s="35">
        <v>20800</v>
      </c>
      <c r="I371" s="35">
        <v>1000</v>
      </c>
      <c r="J371" s="11" t="s">
        <v>23</v>
      </c>
      <c r="K371" s="14">
        <v>3</v>
      </c>
      <c r="L371" s="11" t="str">
        <f>IF(K371&lt;=10, "Baixo", IF(K371&lt;=25, "Médio", "Alto"))</f>
        <v>Baixo</v>
      </c>
      <c r="M371" s="25" t="str">
        <f>IF(AND(L371="Alto", J371="Sim"), "Negada", "Passa")</f>
        <v>Passa</v>
      </c>
      <c r="N371" s="25" t="str">
        <f>IF(AND(I371&gt;50000, J371="Sim"), "Negada", "Passa")</f>
        <v>Passa</v>
      </c>
      <c r="O371" s="39">
        <v>50500</v>
      </c>
      <c r="P371" s="43">
        <f t="shared" si="5"/>
        <v>0</v>
      </c>
    </row>
    <row r="372" spans="1:16">
      <c r="A372" s="10" t="s">
        <v>39</v>
      </c>
      <c r="B372" s="11" t="s">
        <v>1116</v>
      </c>
      <c r="C372" s="11" t="s">
        <v>1117</v>
      </c>
      <c r="D372" s="12">
        <v>61</v>
      </c>
      <c r="E372" s="13" t="s">
        <v>1118</v>
      </c>
      <c r="F372" s="11" t="s">
        <v>21</v>
      </c>
      <c r="G372" s="11" t="s">
        <v>22</v>
      </c>
      <c r="H372" s="35">
        <v>23000</v>
      </c>
      <c r="I372" s="35"/>
      <c r="J372" s="15" t="s">
        <v>23</v>
      </c>
      <c r="K372" s="14">
        <v>27</v>
      </c>
      <c r="L372" s="11" t="str">
        <f>IF(K372&lt;=10, "Baixo", IF(K372&lt;=25, "Médio", "Alto"))</f>
        <v>Alto</v>
      </c>
      <c r="M372" s="25" t="str">
        <f>IF(AND(L372="Alto", J372="Sim"), "Negada", "Passa")</f>
        <v>Passa</v>
      </c>
      <c r="N372" s="25" t="str">
        <f>IF(AND(I372&gt;50000, J372="Sim"), "Negada", "Passa")</f>
        <v>Passa</v>
      </c>
      <c r="O372" s="39">
        <v>99500</v>
      </c>
      <c r="P372" s="43">
        <f t="shared" si="5"/>
        <v>0</v>
      </c>
    </row>
    <row r="373" spans="1:16">
      <c r="A373" s="10" t="s">
        <v>17</v>
      </c>
      <c r="B373" s="11" t="s">
        <v>1119</v>
      </c>
      <c r="C373" s="11" t="s">
        <v>1120</v>
      </c>
      <c r="D373" s="12">
        <v>70</v>
      </c>
      <c r="E373" s="13" t="s">
        <v>1121</v>
      </c>
      <c r="F373" s="11" t="s">
        <v>192</v>
      </c>
      <c r="G373" s="11" t="s">
        <v>193</v>
      </c>
      <c r="H373" s="35">
        <v>9100</v>
      </c>
      <c r="I373" s="35">
        <v>40000</v>
      </c>
      <c r="J373" s="11" t="s">
        <v>23</v>
      </c>
      <c r="K373" s="14">
        <v>13</v>
      </c>
      <c r="L373" s="11" t="str">
        <f>IF(K373&lt;=10, "Baixo", IF(K373&lt;=25, "Médio", "Alto"))</f>
        <v>Médio</v>
      </c>
      <c r="M373" s="25" t="str">
        <f>IF(AND(L373="Alto", J373="Sim"), "Negada", "Passa")</f>
        <v>Passa</v>
      </c>
      <c r="N373" s="25" t="str">
        <f>IF(AND(I373&gt;50000, J373="Sim"), "Negada", "Passa")</f>
        <v>Passa</v>
      </c>
      <c r="O373" s="39">
        <v>22500</v>
      </c>
      <c r="P373" s="43">
        <f t="shared" si="5"/>
        <v>24300</v>
      </c>
    </row>
    <row r="374" spans="1:16">
      <c r="A374" s="10" t="s">
        <v>17</v>
      </c>
      <c r="B374" s="11" t="s">
        <v>1122</v>
      </c>
      <c r="C374" s="11" t="s">
        <v>1123</v>
      </c>
      <c r="D374" s="12">
        <v>64</v>
      </c>
      <c r="E374" s="13" t="s">
        <v>1124</v>
      </c>
      <c r="F374" s="11" t="s">
        <v>50</v>
      </c>
      <c r="G374" s="11" t="s">
        <v>51</v>
      </c>
      <c r="H374" s="35">
        <v>24300</v>
      </c>
      <c r="I374" s="35"/>
      <c r="J374" s="11" t="s">
        <v>29</v>
      </c>
      <c r="K374" s="14">
        <v>14</v>
      </c>
      <c r="L374" s="11" t="str">
        <f>IF(K374&lt;=10, "Baixo", IF(K374&lt;=25, "Médio", "Alto"))</f>
        <v>Médio</v>
      </c>
      <c r="M374" s="25" t="str">
        <f>IF(AND(L374="Alto", J374="Sim"), "Negada", "Passa")</f>
        <v>Passa</v>
      </c>
      <c r="N374" s="25" t="str">
        <f>IF(AND(I374&gt;50000, J374="Sim"), "Negada", "Passa")</f>
        <v>Passa</v>
      </c>
      <c r="O374" s="39">
        <v>49500</v>
      </c>
      <c r="P374" s="43">
        <f t="shared" si="5"/>
        <v>53460</v>
      </c>
    </row>
    <row r="375" spans="1:16">
      <c r="A375" s="10" t="s">
        <v>17</v>
      </c>
      <c r="B375" s="11" t="s">
        <v>1125</v>
      </c>
      <c r="C375" s="11" t="s">
        <v>1126</v>
      </c>
      <c r="D375" s="12">
        <v>44</v>
      </c>
      <c r="E375" s="13" t="s">
        <v>1127</v>
      </c>
      <c r="F375" s="11" t="s">
        <v>115</v>
      </c>
      <c r="G375" s="11" t="s">
        <v>116</v>
      </c>
      <c r="H375" s="35">
        <v>20600</v>
      </c>
      <c r="I375" s="35">
        <v>2000</v>
      </c>
      <c r="J375" s="11" t="s">
        <v>23</v>
      </c>
      <c r="K375" s="14">
        <v>8</v>
      </c>
      <c r="L375" s="11" t="str">
        <f>IF(K375&lt;=10, "Baixo", IF(K375&lt;=25, "Médio", "Alto"))</f>
        <v>Baixo</v>
      </c>
      <c r="M375" s="25" t="str">
        <f>IF(AND(L375="Alto", J375="Sim"), "Negada", "Passa")</f>
        <v>Passa</v>
      </c>
      <c r="N375" s="25" t="str">
        <f>IF(AND(I375&gt;50000, J375="Sim"), "Negada", "Passa")</f>
        <v>Passa</v>
      </c>
      <c r="O375" s="39">
        <v>4000</v>
      </c>
      <c r="P375" s="43">
        <f t="shared" si="5"/>
        <v>4320</v>
      </c>
    </row>
    <row r="376" spans="1:16">
      <c r="A376" s="10" t="s">
        <v>39</v>
      </c>
      <c r="B376" s="11" t="s">
        <v>1128</v>
      </c>
      <c r="C376" s="11" t="s">
        <v>1129</v>
      </c>
      <c r="D376" s="12"/>
      <c r="E376" s="13" t="s">
        <v>1130</v>
      </c>
      <c r="F376" s="11" t="s">
        <v>131</v>
      </c>
      <c r="G376" s="11" t="s">
        <v>56</v>
      </c>
      <c r="H376" s="35">
        <v>2100</v>
      </c>
      <c r="I376" s="35">
        <v>55000</v>
      </c>
      <c r="J376" s="11" t="s">
        <v>35</v>
      </c>
      <c r="K376" s="14"/>
      <c r="L376" s="11" t="str">
        <f>IF(K376&lt;=10, "Baixo", IF(K376&lt;=25, "Médio", "Alto"))</f>
        <v>Baixo</v>
      </c>
      <c r="M376" s="25" t="str">
        <f>IF(AND(L376="Alto", J376="Sim"), "Negada", "Passa")</f>
        <v>Passa</v>
      </c>
      <c r="N376" s="25" t="str">
        <f>IF(AND(I376&gt;50000, J376="Sim"), "Negada", "Passa")</f>
        <v>Passa</v>
      </c>
      <c r="O376" s="39"/>
      <c r="P376" s="43">
        <f t="shared" si="5"/>
        <v>0</v>
      </c>
    </row>
    <row r="377" spans="1:16">
      <c r="A377" s="10" t="s">
        <v>17</v>
      </c>
      <c r="B377" s="11" t="s">
        <v>1131</v>
      </c>
      <c r="C377" s="11" t="s">
        <v>1132</v>
      </c>
      <c r="D377" s="12">
        <v>68</v>
      </c>
      <c r="E377" s="13" t="s">
        <v>1133</v>
      </c>
      <c r="F377" s="11" t="s">
        <v>55</v>
      </c>
      <c r="G377" s="11" t="s">
        <v>56</v>
      </c>
      <c r="H377" s="35">
        <v>11500</v>
      </c>
      <c r="I377" s="35">
        <v>73500</v>
      </c>
      <c r="J377" s="11" t="s">
        <v>35</v>
      </c>
      <c r="K377" s="14"/>
      <c r="L377" s="11" t="str">
        <f>IF(K377&lt;=10, "Baixo", IF(K377&lt;=25, "Médio", "Alto"))</f>
        <v>Baixo</v>
      </c>
      <c r="M377" s="25" t="str">
        <f>IF(AND(L377="Alto", J377="Sim"), "Negada", "Passa")</f>
        <v>Passa</v>
      </c>
      <c r="N377" s="25" t="str">
        <f>IF(AND(I377&gt;50000, J377="Sim"), "Negada", "Passa")</f>
        <v>Passa</v>
      </c>
      <c r="O377" s="39"/>
      <c r="P377" s="43">
        <f t="shared" si="5"/>
        <v>0</v>
      </c>
    </row>
    <row r="378" spans="1:16">
      <c r="A378" s="10" t="s">
        <v>17</v>
      </c>
      <c r="B378" s="11" t="s">
        <v>1131</v>
      </c>
      <c r="C378" s="11" t="s">
        <v>1134</v>
      </c>
      <c r="D378" s="12">
        <v>65</v>
      </c>
      <c r="E378" s="13" t="s">
        <v>1135</v>
      </c>
      <c r="F378" s="11" t="s">
        <v>71</v>
      </c>
      <c r="G378" s="11" t="s">
        <v>72</v>
      </c>
      <c r="H378" s="35">
        <v>12700</v>
      </c>
      <c r="I378" s="35">
        <v>25000</v>
      </c>
      <c r="J378" s="11" t="s">
        <v>35</v>
      </c>
      <c r="K378" s="14"/>
      <c r="L378" s="11" t="str">
        <f>IF(K378&lt;=10, "Baixo", IF(K378&lt;=25, "Médio", "Alto"))</f>
        <v>Baixo</v>
      </c>
      <c r="M378" s="25" t="str">
        <f>IF(AND(L378="Alto", J378="Sim"), "Negada", "Passa")</f>
        <v>Passa</v>
      </c>
      <c r="N378" s="25" t="str">
        <f>IF(AND(I378&gt;50000, J378="Sim"), "Negada", "Passa")</f>
        <v>Passa</v>
      </c>
      <c r="O378" s="39"/>
      <c r="P378" s="43">
        <f t="shared" si="5"/>
        <v>0</v>
      </c>
    </row>
    <row r="379" spans="1:16">
      <c r="A379" s="10" t="s">
        <v>39</v>
      </c>
      <c r="B379" s="11" t="s">
        <v>1136</v>
      </c>
      <c r="C379" s="11" t="s">
        <v>1137</v>
      </c>
      <c r="D379" s="12">
        <v>57</v>
      </c>
      <c r="E379" s="13" t="s">
        <v>1138</v>
      </c>
      <c r="F379" s="11" t="s">
        <v>33</v>
      </c>
      <c r="G379" s="11" t="s">
        <v>34</v>
      </c>
      <c r="H379" s="35">
        <v>3400</v>
      </c>
      <c r="I379" s="35">
        <v>52500</v>
      </c>
      <c r="J379" s="11" t="s">
        <v>29</v>
      </c>
      <c r="K379" s="14">
        <v>0</v>
      </c>
      <c r="L379" s="11" t="str">
        <f>IF(K379&lt;=10, "Baixo", IF(K379&lt;=25, "Médio", "Alto"))</f>
        <v>Baixo</v>
      </c>
      <c r="M379" s="25" t="str">
        <f>IF(AND(L379="Alto", J379="Sim"), "Negada", "Passa")</f>
        <v>Passa</v>
      </c>
      <c r="N379" s="25" t="str">
        <f>IF(AND(I379&gt;50000, J379="Sim"), "Negada", "Passa")</f>
        <v>Negada</v>
      </c>
      <c r="O379" s="39">
        <v>66000</v>
      </c>
      <c r="P379" s="43">
        <f t="shared" si="5"/>
        <v>0</v>
      </c>
    </row>
    <row r="380" spans="1:16">
      <c r="A380" s="18" t="s">
        <v>39</v>
      </c>
      <c r="B380" s="19" t="s">
        <v>1139</v>
      </c>
      <c r="C380" s="19" t="s">
        <v>1140</v>
      </c>
      <c r="D380" s="20">
        <v>42</v>
      </c>
      <c r="E380" s="21" t="s">
        <v>1141</v>
      </c>
      <c r="F380" s="19" t="s">
        <v>60</v>
      </c>
      <c r="G380" s="19" t="s">
        <v>61</v>
      </c>
      <c r="H380" s="36">
        <v>18200</v>
      </c>
      <c r="I380" s="36">
        <v>8500</v>
      </c>
      <c r="J380" s="19" t="s">
        <v>35</v>
      </c>
      <c r="K380" s="22">
        <v>35</v>
      </c>
      <c r="L380" s="23" t="str">
        <f>IF(K380&lt;=10, "Baixo", IF(K380&lt;=25, "Médio", "Alto"))</f>
        <v>Alto</v>
      </c>
      <c r="M380" s="25" t="str">
        <f>IF(AND(L380="Alto", J380="Sim"), "Negada", "Passa")</f>
        <v>Passa</v>
      </c>
      <c r="N380" s="25" t="str">
        <f>IF(AND(I380&gt;50000, J380="Sim"), "Negada", "Passa")</f>
        <v>Passa</v>
      </c>
      <c r="O380" s="40">
        <v>23500</v>
      </c>
      <c r="P380" s="43">
        <f t="shared" si="5"/>
        <v>0</v>
      </c>
    </row>
    <row r="381" spans="1:16">
      <c r="C381"/>
      <c r="D381"/>
      <c r="F381"/>
      <c r="G381"/>
      <c r="O381" s="37"/>
    </row>
    <row r="382" spans="1:16">
      <c r="C382"/>
      <c r="D382"/>
      <c r="F382"/>
      <c r="G382"/>
      <c r="O382" s="37"/>
    </row>
    <row r="383" spans="1:16">
      <c r="C383"/>
      <c r="D383"/>
      <c r="F383"/>
      <c r="G383"/>
      <c r="O383" s="37"/>
    </row>
    <row r="384" spans="1:16">
      <c r="C384"/>
      <c r="D384"/>
      <c r="F384"/>
      <c r="G384"/>
      <c r="O384" s="37"/>
    </row>
    <row r="385" spans="3:15">
      <c r="C385"/>
      <c r="D385"/>
      <c r="F385"/>
      <c r="G385"/>
      <c r="O385" s="37"/>
    </row>
    <row r="386" spans="3:15">
      <c r="C386"/>
      <c r="D386"/>
      <c r="F386"/>
      <c r="G386"/>
      <c r="O386" s="37"/>
    </row>
    <row r="387" spans="3:15">
      <c r="C387"/>
      <c r="D387"/>
      <c r="F387"/>
      <c r="G387"/>
      <c r="O387" s="37"/>
    </row>
    <row r="388" spans="3:15">
      <c r="C388"/>
      <c r="D388"/>
      <c r="F388"/>
      <c r="G388"/>
      <c r="O388" s="37"/>
    </row>
    <row r="389" spans="3:15">
      <c r="C389"/>
      <c r="D389"/>
      <c r="F389"/>
      <c r="G389"/>
      <c r="O389" s="37"/>
    </row>
    <row r="390" spans="3:15">
      <c r="C390"/>
      <c r="D390"/>
      <c r="F390"/>
      <c r="G390"/>
      <c r="O390" s="37"/>
    </row>
    <row r="391" spans="3:15">
      <c r="C391"/>
      <c r="D391"/>
      <c r="F391"/>
      <c r="G391"/>
      <c r="O391" s="37"/>
    </row>
    <row r="392" spans="3:15">
      <c r="C392"/>
      <c r="D392"/>
      <c r="F392"/>
      <c r="G392"/>
      <c r="O392" s="37"/>
    </row>
    <row r="393" spans="3:15">
      <c r="C393"/>
      <c r="D393"/>
      <c r="F393"/>
      <c r="G393"/>
      <c r="O393" s="37"/>
    </row>
    <row r="394" spans="3:15">
      <c r="C394"/>
      <c r="D394"/>
      <c r="F394"/>
      <c r="G394"/>
      <c r="O394" s="37"/>
    </row>
    <row r="395" spans="3:15">
      <c r="C395"/>
      <c r="D395"/>
      <c r="F395"/>
      <c r="G395"/>
      <c r="O395" s="37"/>
    </row>
    <row r="396" spans="3:15">
      <c r="C396"/>
      <c r="D396"/>
      <c r="F396"/>
      <c r="G396"/>
      <c r="O396" s="37"/>
    </row>
    <row r="397" spans="3:15">
      <c r="C397"/>
      <c r="D397"/>
      <c r="F397"/>
      <c r="G397"/>
      <c r="O397" s="37"/>
    </row>
    <row r="398" spans="3:15">
      <c r="C398"/>
      <c r="D398"/>
      <c r="F398"/>
      <c r="G398"/>
      <c r="O398" s="37"/>
    </row>
    <row r="399" spans="3:15">
      <c r="C399"/>
      <c r="D399"/>
      <c r="F399"/>
      <c r="G399"/>
      <c r="O399" s="37"/>
    </row>
    <row r="400" spans="3:15">
      <c r="C400"/>
      <c r="D400"/>
      <c r="F400"/>
      <c r="G400"/>
      <c r="O400" s="37"/>
    </row>
    <row r="401" spans="3:15">
      <c r="C401"/>
      <c r="D401"/>
      <c r="F401"/>
      <c r="G401"/>
      <c r="O401" s="37"/>
    </row>
    <row r="402" spans="3:15">
      <c r="C402"/>
      <c r="D402"/>
      <c r="F402"/>
      <c r="G402"/>
      <c r="O402" s="37"/>
    </row>
  </sheetData>
  <autoFilter ref="A1:P380" xr:uid="{BE1833B4-0428-4A55-871D-29EEEFDA4C4F}">
    <sortState xmlns:xlrd2="http://schemas.microsoft.com/office/spreadsheetml/2017/richdata2" ref="A2:P380">
      <sortCondition ref="B1:B380"/>
    </sortState>
  </autoFilter>
  <sortState xmlns:xlrd2="http://schemas.microsoft.com/office/spreadsheetml/2017/richdata2" ref="A2:H1048576">
    <sortCondition ref="H2:H1048576"/>
  </sortState>
  <conditionalFormatting sqref="L1:L1048576">
    <cfRule type="containsText" dxfId="24" priority="11" operator="containsText" text="Alto">
      <formula>NOT(ISERROR(SEARCH("Alto",L1)))</formula>
    </cfRule>
  </conditionalFormatting>
  <conditionalFormatting sqref="L1:L1048576">
    <cfRule type="containsText" dxfId="23" priority="10" operator="containsText" text="Médio">
      <formula>NOT(ISERROR(SEARCH("Médio",L1)))</formula>
    </cfRule>
  </conditionalFormatting>
  <conditionalFormatting sqref="L1:L1048576">
    <cfRule type="containsText" dxfId="22" priority="8" operator="containsText" text="Baixo">
      <formula>NOT(ISERROR(SEARCH("Baixo",L1)))</formula>
    </cfRule>
  </conditionalFormatting>
  <conditionalFormatting sqref="M1:M1048576">
    <cfRule type="containsText" dxfId="21" priority="7" operator="containsText" text="Negada">
      <formula>NOT(ISERROR(SEARCH("Negada",M1)))</formula>
    </cfRule>
  </conditionalFormatting>
  <conditionalFormatting sqref="N1:N1048576">
    <cfRule type="containsText" dxfId="20" priority="6" operator="containsText" text="Negada">
      <formula>NOT(ISERROR(SEARCH("Negada",N1)))</formula>
    </cfRule>
  </conditionalFormatting>
  <conditionalFormatting sqref="P2:P1048576">
    <cfRule type="cellIs" dxfId="19" priority="5" operator="equal">
      <formula>0</formula>
    </cfRule>
  </conditionalFormatting>
  <conditionalFormatting sqref="P2:P1048576">
    <cfRule type="cellIs" dxfId="18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FBA9-5B80-4C79-8147-C9875AB63B36}">
  <dimension ref="A1:G19"/>
  <sheetViews>
    <sheetView workbookViewId="0">
      <selection activeCell="C24" sqref="C24"/>
    </sheetView>
  </sheetViews>
  <sheetFormatPr defaultRowHeight="15"/>
  <cols>
    <col min="1" max="1" width="19.85546875" style="27" bestFit="1" customWidth="1"/>
    <col min="2" max="2" width="53.42578125" style="27" bestFit="1" customWidth="1"/>
    <col min="3" max="3" width="53.28515625" style="27" bestFit="1" customWidth="1"/>
    <col min="4" max="4" width="22.7109375" style="27" bestFit="1" customWidth="1"/>
    <col min="5" max="5" width="84.42578125" style="27" bestFit="1" customWidth="1"/>
    <col min="6" max="6" width="52.28515625" style="27" bestFit="1" customWidth="1"/>
    <col min="7" max="7" width="10.42578125" style="27" bestFit="1" customWidth="1"/>
    <col min="8" max="16384" width="9.140625" style="27"/>
  </cols>
  <sheetData>
    <row r="1" spans="1:7">
      <c r="A1" s="27" t="s">
        <v>1142</v>
      </c>
      <c r="B1" s="27" t="s">
        <v>1143</v>
      </c>
      <c r="C1" s="27" t="s">
        <v>1144</v>
      </c>
      <c r="D1" s="27" t="s">
        <v>1145</v>
      </c>
      <c r="E1" s="27" t="s">
        <v>1146</v>
      </c>
      <c r="F1" s="27" t="s">
        <v>1147</v>
      </c>
      <c r="G1" s="27" t="s">
        <v>1148</v>
      </c>
    </row>
    <row r="2" spans="1:7">
      <c r="A2" s="27" t="s">
        <v>1149</v>
      </c>
      <c r="B2" s="27" t="s">
        <v>1150</v>
      </c>
      <c r="C2" s="27" t="s">
        <v>1151</v>
      </c>
      <c r="D2" s="27" t="s">
        <v>1152</v>
      </c>
      <c r="E2" s="27" t="s">
        <v>1153</v>
      </c>
      <c r="F2" s="27" t="s">
        <v>1154</v>
      </c>
      <c r="G2" s="27" t="s">
        <v>1155</v>
      </c>
    </row>
    <row r="3" spans="1:7">
      <c r="A3" s="27" t="s">
        <v>16</v>
      </c>
      <c r="B3" s="27" t="s">
        <v>1156</v>
      </c>
      <c r="C3" s="27" t="s">
        <v>1157</v>
      </c>
      <c r="D3" s="27" t="s">
        <v>1158</v>
      </c>
      <c r="E3" s="27" t="s">
        <v>1159</v>
      </c>
      <c r="F3" s="27" t="s">
        <v>1160</v>
      </c>
      <c r="G3" s="27" t="s">
        <v>1155</v>
      </c>
    </row>
    <row r="4" spans="1:7">
      <c r="A4" s="27" t="s">
        <v>16</v>
      </c>
      <c r="B4" s="27" t="s">
        <v>1161</v>
      </c>
      <c r="C4" s="27" t="s">
        <v>1162</v>
      </c>
      <c r="D4" s="27" t="s">
        <v>1163</v>
      </c>
      <c r="E4" s="27" t="s">
        <v>1164</v>
      </c>
      <c r="F4" s="27" t="s">
        <v>1165</v>
      </c>
      <c r="G4" s="27" t="s">
        <v>1155</v>
      </c>
    </row>
    <row r="5" spans="1:7">
      <c r="A5" s="27" t="s">
        <v>16</v>
      </c>
      <c r="B5" s="27" t="s">
        <v>1166</v>
      </c>
      <c r="C5" s="27" t="s">
        <v>1167</v>
      </c>
      <c r="D5" s="27" t="s">
        <v>1168</v>
      </c>
      <c r="E5" s="27" t="s">
        <v>1169</v>
      </c>
      <c r="F5" s="27" t="s">
        <v>1170</v>
      </c>
      <c r="G5" s="27" t="s">
        <v>1155</v>
      </c>
    </row>
    <row r="6" spans="1:7">
      <c r="A6" s="27" t="s">
        <v>16</v>
      </c>
      <c r="B6" s="27" t="s">
        <v>1171</v>
      </c>
      <c r="C6" s="27" t="s">
        <v>1172</v>
      </c>
      <c r="D6" s="27" t="s">
        <v>1173</v>
      </c>
      <c r="E6" s="27" t="s">
        <v>1174</v>
      </c>
      <c r="F6" s="27" t="s">
        <v>1175</v>
      </c>
      <c r="G6" s="27" t="s">
        <v>1155</v>
      </c>
    </row>
    <row r="7" spans="1:7">
      <c r="A7" s="27" t="s">
        <v>13</v>
      </c>
      <c r="B7" s="27" t="s">
        <v>1176</v>
      </c>
      <c r="C7" s="27" t="s">
        <v>1177</v>
      </c>
      <c r="D7" s="27" t="s">
        <v>1178</v>
      </c>
      <c r="E7" s="27" t="s">
        <v>1179</v>
      </c>
      <c r="F7" s="27" t="s">
        <v>1180</v>
      </c>
      <c r="G7" s="27" t="s">
        <v>1155</v>
      </c>
    </row>
    <row r="8" spans="1:7">
      <c r="A8" s="27" t="s">
        <v>14</v>
      </c>
      <c r="B8" s="27" t="s">
        <v>1181</v>
      </c>
      <c r="C8" s="27" t="s">
        <v>1182</v>
      </c>
      <c r="D8" s="27" t="s">
        <v>1163</v>
      </c>
      <c r="E8" s="27" t="s">
        <v>1183</v>
      </c>
      <c r="F8" s="27" t="s">
        <v>1184</v>
      </c>
      <c r="G8" s="27" t="s">
        <v>1155</v>
      </c>
    </row>
    <row r="9" spans="1:7">
      <c r="A9" s="27" t="s">
        <v>12</v>
      </c>
      <c r="B9" s="27" t="s">
        <v>1185</v>
      </c>
      <c r="C9" s="27" t="s">
        <v>1186</v>
      </c>
      <c r="D9" s="27" t="s">
        <v>1163</v>
      </c>
      <c r="E9" s="27" t="s">
        <v>1187</v>
      </c>
      <c r="F9" s="27" t="s">
        <v>1188</v>
      </c>
      <c r="G9" s="27" t="s">
        <v>1155</v>
      </c>
    </row>
    <row r="10" spans="1:7">
      <c r="A10" s="27" t="s">
        <v>12</v>
      </c>
      <c r="B10" s="27" t="s">
        <v>1189</v>
      </c>
      <c r="C10" s="27" t="s">
        <v>1190</v>
      </c>
      <c r="D10" s="27" t="s">
        <v>1191</v>
      </c>
      <c r="E10" s="27" t="s">
        <v>1192</v>
      </c>
      <c r="F10" s="27" t="s">
        <v>1193</v>
      </c>
      <c r="G10" s="27" t="s">
        <v>1155</v>
      </c>
    </row>
    <row r="11" spans="1:7">
      <c r="A11" s="27" t="s">
        <v>1194</v>
      </c>
      <c r="B11" s="27" t="s">
        <v>1195</v>
      </c>
      <c r="C11" s="27" t="s">
        <v>1196</v>
      </c>
      <c r="D11" s="27" t="s">
        <v>1197</v>
      </c>
      <c r="E11" s="27" t="s">
        <v>1198</v>
      </c>
      <c r="F11" s="27" t="s">
        <v>1199</v>
      </c>
      <c r="G11" s="27" t="s">
        <v>1155</v>
      </c>
    </row>
    <row r="12" spans="1:7">
      <c r="A12" s="27" t="s">
        <v>1200</v>
      </c>
      <c r="B12" s="27" t="s">
        <v>1201</v>
      </c>
      <c r="C12" s="27" t="s">
        <v>1202</v>
      </c>
      <c r="D12" s="27" t="s">
        <v>1203</v>
      </c>
      <c r="E12" s="27" t="s">
        <v>1204</v>
      </c>
      <c r="F12" s="27" t="s">
        <v>1205</v>
      </c>
      <c r="G12" s="27" t="s">
        <v>1155</v>
      </c>
    </row>
    <row r="13" spans="1:7" ht="14.25" customHeight="1">
      <c r="A13" s="27" t="s">
        <v>1206</v>
      </c>
      <c r="B13" s="27" t="s">
        <v>1207</v>
      </c>
      <c r="C13" s="27" t="s">
        <v>1208</v>
      </c>
      <c r="D13" s="27" t="s">
        <v>1209</v>
      </c>
      <c r="E13" s="27" t="s">
        <v>1210</v>
      </c>
      <c r="F13" s="27" t="s">
        <v>1211</v>
      </c>
      <c r="G13" s="27" t="s">
        <v>1155</v>
      </c>
    </row>
    <row r="14" spans="1:7">
      <c r="A14" s="27" t="s">
        <v>1212</v>
      </c>
      <c r="B14" s="27" t="s">
        <v>1213</v>
      </c>
      <c r="C14" s="27" t="s">
        <v>1214</v>
      </c>
      <c r="D14" s="27" t="s">
        <v>1215</v>
      </c>
      <c r="E14" s="27" t="s">
        <v>1216</v>
      </c>
      <c r="F14" s="27" t="s">
        <v>1217</v>
      </c>
      <c r="G14" s="27" t="s">
        <v>1155</v>
      </c>
    </row>
    <row r="15" spans="1:7">
      <c r="A15" s="27" t="s">
        <v>1218</v>
      </c>
      <c r="B15" s="27" t="s">
        <v>1219</v>
      </c>
      <c r="C15" s="27" t="s">
        <v>1220</v>
      </c>
      <c r="D15" s="27" t="s">
        <v>1221</v>
      </c>
      <c r="E15" s="27" t="s">
        <v>1222</v>
      </c>
      <c r="F15" s="27" t="s">
        <v>1223</v>
      </c>
      <c r="G15" s="27" t="s">
        <v>1155</v>
      </c>
    </row>
    <row r="16" spans="1:7">
      <c r="A16" s="27" t="s">
        <v>1224</v>
      </c>
      <c r="B16" s="27" t="s">
        <v>1225</v>
      </c>
      <c r="C16" s="27" t="s">
        <v>1226</v>
      </c>
      <c r="D16" s="27" t="s">
        <v>1227</v>
      </c>
      <c r="E16" s="27" t="s">
        <v>1228</v>
      </c>
      <c r="F16" s="27" t="s">
        <v>1229</v>
      </c>
      <c r="G16" s="27" t="s">
        <v>1155</v>
      </c>
    </row>
    <row r="17" spans="1:7">
      <c r="A17" s="27" t="s">
        <v>1230</v>
      </c>
      <c r="B17" s="27" t="s">
        <v>1231</v>
      </c>
      <c r="C17" s="27" t="s">
        <v>1232</v>
      </c>
      <c r="D17" s="27" t="s">
        <v>1233</v>
      </c>
      <c r="E17" s="27" t="s">
        <v>1234</v>
      </c>
      <c r="F17" s="27" t="s">
        <v>1235</v>
      </c>
      <c r="G17" s="27" t="s">
        <v>1155</v>
      </c>
    </row>
    <row r="18" spans="1:7">
      <c r="A18" s="27" t="s">
        <v>9</v>
      </c>
      <c r="B18" s="27" t="s">
        <v>1236</v>
      </c>
      <c r="C18" s="27" t="s">
        <v>1237</v>
      </c>
      <c r="D18" s="27" t="s">
        <v>1238</v>
      </c>
      <c r="E18" s="27" t="s">
        <v>1239</v>
      </c>
      <c r="F18" s="27" t="s">
        <v>1240</v>
      </c>
      <c r="G18" s="27" t="s">
        <v>1241</v>
      </c>
    </row>
    <row r="19" spans="1:7">
      <c r="A19" s="27" t="s">
        <v>11</v>
      </c>
      <c r="B19" s="27" t="s">
        <v>1242</v>
      </c>
      <c r="C19" s="27" t="s">
        <v>1243</v>
      </c>
      <c r="D19" s="27" t="s">
        <v>1209</v>
      </c>
      <c r="E19" s="27" t="s">
        <v>1244</v>
      </c>
      <c r="F19" s="27" t="s">
        <v>1245</v>
      </c>
      <c r="G19" s="27" t="s">
        <v>1155</v>
      </c>
    </row>
  </sheetData>
  <conditionalFormatting sqref="G1:G1048576">
    <cfRule type="containsText" dxfId="17" priority="2" operator="containsText" text="Corrigido">
      <formula>NOT(ISERROR(SEARCH("Corrigido",G1)))</formula>
    </cfRule>
  </conditionalFormatting>
  <conditionalFormatting sqref="G18">
    <cfRule type="containsText" dxfId="16" priority="1" operator="containsText" text="Registrado">
      <formula>NOT(ISERROR(SEARCH("Registrado",G18)))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C885-D019-4E47-B890-DB29FA0088FC}">
  <dimension ref="A1:Q235"/>
  <sheetViews>
    <sheetView showGridLines="0" workbookViewId="0">
      <selection activeCell="D30" sqref="D30"/>
    </sheetView>
  </sheetViews>
  <sheetFormatPr defaultColWidth="9.140625" defaultRowHeight="15"/>
  <cols>
    <col min="1" max="1" width="44" style="27" bestFit="1" customWidth="1"/>
    <col min="2" max="2" width="15" style="27" bestFit="1" customWidth="1"/>
    <col min="3" max="3" width="41.7109375" style="27" bestFit="1" customWidth="1"/>
    <col min="4" max="4" width="17" style="27" bestFit="1" customWidth="1"/>
    <col min="5" max="5" width="123.140625" style="27" bestFit="1" customWidth="1"/>
    <col min="6" max="6" width="20.85546875" style="27" bestFit="1" customWidth="1"/>
    <col min="7" max="7" width="26" style="27" bestFit="1" customWidth="1"/>
    <col min="8" max="9" width="9.140625" style="27"/>
    <col min="10" max="10" width="13.85546875" style="27" bestFit="1" customWidth="1"/>
    <col min="11" max="11" width="19.140625" style="27" bestFit="1" customWidth="1"/>
    <col min="12" max="12" width="9.140625" style="27" bestFit="1" customWidth="1"/>
    <col min="13" max="13" width="20.85546875" style="27" bestFit="1" customWidth="1"/>
    <col min="14" max="14" width="26" style="27" bestFit="1" customWidth="1"/>
    <col min="15" max="16384" width="9.140625" style="27"/>
  </cols>
  <sheetData>
    <row r="1" spans="1:14">
      <c r="A1" s="27" t="s">
        <v>1246</v>
      </c>
      <c r="B1" s="27" t="s">
        <v>1247</v>
      </c>
      <c r="C1" s="27" t="s">
        <v>1248</v>
      </c>
      <c r="D1" s="27" t="s">
        <v>1249</v>
      </c>
      <c r="E1" s="27" t="s">
        <v>1250</v>
      </c>
    </row>
    <row r="2" spans="1:14">
      <c r="A2" s="27" t="s">
        <v>1251</v>
      </c>
      <c r="B2" s="27" t="s">
        <v>1252</v>
      </c>
      <c r="C2" s="27" t="s">
        <v>1253</v>
      </c>
      <c r="D2" s="27" t="s">
        <v>1254</v>
      </c>
      <c r="E2" s="27" t="s">
        <v>1255</v>
      </c>
    </row>
    <row r="3" spans="1:14">
      <c r="A3" s="27" t="s">
        <v>1256</v>
      </c>
      <c r="B3" s="27" t="s">
        <v>1252</v>
      </c>
      <c r="C3" s="27" t="s">
        <v>1257</v>
      </c>
      <c r="D3" s="27" t="s">
        <v>1258</v>
      </c>
      <c r="E3" s="27" t="s">
        <v>1259</v>
      </c>
    </row>
    <row r="4" spans="1:14">
      <c r="A4" s="27" t="s">
        <v>1260</v>
      </c>
      <c r="B4" s="27" t="s">
        <v>1261</v>
      </c>
      <c r="C4" s="27" t="s">
        <v>1262</v>
      </c>
      <c r="D4" s="27" t="s">
        <v>1263</v>
      </c>
      <c r="E4" s="27" t="s">
        <v>1264</v>
      </c>
    </row>
    <row r="5" spans="1:14">
      <c r="A5"/>
      <c r="B5"/>
      <c r="J5" s="29" t="s">
        <v>12</v>
      </c>
      <c r="K5" t="s">
        <v>1265</v>
      </c>
      <c r="M5" s="29" t="s">
        <v>10</v>
      </c>
      <c r="N5" t="s">
        <v>1266</v>
      </c>
    </row>
    <row r="6" spans="1:14">
      <c r="J6" t="s">
        <v>1267</v>
      </c>
      <c r="K6" s="30">
        <v>93</v>
      </c>
      <c r="M6" t="s">
        <v>35</v>
      </c>
      <c r="N6" s="31">
        <v>0.29177718832891247</v>
      </c>
    </row>
    <row r="7" spans="1:14">
      <c r="A7"/>
      <c r="B7"/>
      <c r="C7"/>
      <c r="J7" t="s">
        <v>1268</v>
      </c>
      <c r="K7" s="30">
        <v>128</v>
      </c>
      <c r="M7" t="s">
        <v>23</v>
      </c>
      <c r="N7" s="31">
        <v>0.5305039787798409</v>
      </c>
    </row>
    <row r="8" spans="1:14">
      <c r="A8" s="33"/>
      <c r="B8" s="33"/>
      <c r="J8" t="s">
        <v>1269</v>
      </c>
      <c r="K8" s="30">
        <v>158</v>
      </c>
      <c r="M8" t="s">
        <v>29</v>
      </c>
      <c r="N8" s="31">
        <v>0.17771883289124668</v>
      </c>
    </row>
    <row r="9" spans="1:14">
      <c r="A9"/>
      <c r="B9"/>
      <c r="C9"/>
      <c r="J9" t="s">
        <v>1270</v>
      </c>
      <c r="K9" s="30">
        <v>379</v>
      </c>
      <c r="M9" t="s">
        <v>1270</v>
      </c>
      <c r="N9" s="31">
        <v>1</v>
      </c>
    </row>
    <row r="10" spans="1:14">
      <c r="A10"/>
      <c r="B10"/>
      <c r="C10"/>
    </row>
    <row r="11" spans="1:14">
      <c r="A11"/>
      <c r="B11"/>
      <c r="C11"/>
    </row>
    <row r="12" spans="1:14">
      <c r="A12"/>
      <c r="B12"/>
      <c r="C12"/>
    </row>
    <row r="13" spans="1:14">
      <c r="A13"/>
      <c r="B13"/>
      <c r="C13"/>
    </row>
    <row r="14" spans="1:14">
      <c r="A14"/>
      <c r="B14"/>
      <c r="C14"/>
    </row>
    <row r="15" spans="1:14">
      <c r="A15"/>
      <c r="B15"/>
      <c r="C15"/>
    </row>
    <row r="16" spans="1:14">
      <c r="A16"/>
      <c r="B16"/>
      <c r="C16"/>
      <c r="H16"/>
    </row>
    <row r="17" spans="1:17">
      <c r="A17"/>
      <c r="B17"/>
      <c r="C17"/>
      <c r="H17"/>
    </row>
    <row r="18" spans="1:17">
      <c r="A18"/>
      <c r="B18"/>
      <c r="C18"/>
      <c r="H18"/>
    </row>
    <row r="19" spans="1:17">
      <c r="A19"/>
      <c r="B19"/>
      <c r="C19"/>
      <c r="H19"/>
    </row>
    <row r="20" spans="1:17">
      <c r="A20"/>
      <c r="B20"/>
      <c r="C20"/>
      <c r="H20"/>
    </row>
    <row r="21" spans="1:17">
      <c r="A21"/>
      <c r="B21"/>
      <c r="C21"/>
      <c r="F21"/>
      <c r="G21"/>
      <c r="H21"/>
      <c r="J21" s="29" t="s">
        <v>8</v>
      </c>
      <c r="K21" t="s">
        <v>1271</v>
      </c>
      <c r="L21"/>
      <c r="M21" s="27">
        <v>1900</v>
      </c>
      <c r="N21" s="27">
        <v>77000</v>
      </c>
    </row>
    <row r="22" spans="1:17">
      <c r="A22"/>
      <c r="B22"/>
      <c r="C22"/>
      <c r="F22"/>
      <c r="G22"/>
      <c r="H22"/>
      <c r="J22">
        <v>1900</v>
      </c>
      <c r="K22" s="30">
        <v>77000</v>
      </c>
      <c r="L22"/>
      <c r="M22" s="27">
        <v>2000</v>
      </c>
      <c r="N22" s="27">
        <v>73833.333333333328</v>
      </c>
      <c r="Q22" s="32"/>
    </row>
    <row r="23" spans="1:17">
      <c r="A23"/>
      <c r="B23"/>
      <c r="C23"/>
      <c r="F23"/>
      <c r="G23"/>
      <c r="H23"/>
      <c r="J23">
        <v>2000</v>
      </c>
      <c r="K23" s="30">
        <v>73833.333333333328</v>
      </c>
      <c r="L23"/>
      <c r="M23" s="27">
        <v>2100</v>
      </c>
    </row>
    <row r="24" spans="1:17">
      <c r="A24"/>
      <c r="B24"/>
      <c r="C24"/>
      <c r="F24"/>
      <c r="G24"/>
      <c r="H24"/>
      <c r="J24">
        <v>2100</v>
      </c>
      <c r="K24" s="30"/>
      <c r="L24"/>
      <c r="M24" s="27">
        <v>2300</v>
      </c>
      <c r="N24" s="27">
        <v>56250</v>
      </c>
    </row>
    <row r="25" spans="1:17">
      <c r="F25"/>
      <c r="G25"/>
      <c r="H25"/>
      <c r="J25">
        <v>2300</v>
      </c>
      <c r="K25" s="30">
        <v>56250</v>
      </c>
      <c r="L25"/>
      <c r="M25" s="27">
        <v>2400</v>
      </c>
      <c r="N25" s="27">
        <v>68500</v>
      </c>
    </row>
    <row r="26" spans="1:17">
      <c r="F26"/>
      <c r="G26"/>
      <c r="H26"/>
      <c r="J26">
        <v>2400</v>
      </c>
      <c r="K26" s="30">
        <v>68500</v>
      </c>
      <c r="L26"/>
      <c r="M26" s="27">
        <v>2500</v>
      </c>
      <c r="N26" s="27">
        <v>17000</v>
      </c>
    </row>
    <row r="27" spans="1:17">
      <c r="F27"/>
      <c r="G27"/>
      <c r="H27"/>
      <c r="J27">
        <v>2500</v>
      </c>
      <c r="K27" s="30">
        <v>17000</v>
      </c>
      <c r="L27"/>
      <c r="M27" s="27">
        <v>2600</v>
      </c>
      <c r="N27" s="27">
        <v>35666.666666666664</v>
      </c>
    </row>
    <row r="28" spans="1:17">
      <c r="F28"/>
      <c r="G28"/>
      <c r="H28"/>
      <c r="J28">
        <v>2600</v>
      </c>
      <c r="K28" s="30">
        <v>35666.666666666664</v>
      </c>
      <c r="L28"/>
      <c r="M28" s="27">
        <v>2800</v>
      </c>
      <c r="N28" s="27">
        <v>69500</v>
      </c>
    </row>
    <row r="29" spans="1:17">
      <c r="F29"/>
      <c r="G29"/>
      <c r="H29"/>
      <c r="J29">
        <v>2800</v>
      </c>
      <c r="K29" s="30">
        <v>69500</v>
      </c>
      <c r="L29"/>
      <c r="M29" s="27">
        <v>2900</v>
      </c>
      <c r="N29" s="27">
        <v>23000</v>
      </c>
    </row>
    <row r="30" spans="1:17">
      <c r="F30"/>
      <c r="G30"/>
      <c r="H30"/>
      <c r="J30">
        <v>2900</v>
      </c>
      <c r="K30" s="30">
        <v>23000</v>
      </c>
      <c r="L30"/>
      <c r="M30" s="27">
        <v>3200</v>
      </c>
      <c r="N30" s="27">
        <v>51000</v>
      </c>
    </row>
    <row r="31" spans="1:17">
      <c r="F31"/>
      <c r="G31"/>
      <c r="H31"/>
      <c r="J31">
        <v>3200</v>
      </c>
      <c r="K31" s="30">
        <v>51000</v>
      </c>
      <c r="L31"/>
      <c r="M31" s="27">
        <v>3300</v>
      </c>
    </row>
    <row r="32" spans="1:17">
      <c r="F32"/>
      <c r="G32"/>
      <c r="H32"/>
      <c r="J32">
        <v>3300</v>
      </c>
      <c r="K32" s="30"/>
      <c r="L32"/>
      <c r="M32" s="27">
        <v>3400</v>
      </c>
      <c r="N32" s="27">
        <v>71833.333333333328</v>
      </c>
    </row>
    <row r="33" spans="6:14">
      <c r="F33"/>
      <c r="G33"/>
      <c r="H33"/>
      <c r="J33">
        <v>3400</v>
      </c>
      <c r="K33" s="30">
        <v>71833.333333333328</v>
      </c>
      <c r="L33"/>
      <c r="M33" s="27">
        <v>3500</v>
      </c>
    </row>
    <row r="34" spans="6:14">
      <c r="J34">
        <v>3500</v>
      </c>
      <c r="K34" s="30"/>
      <c r="L34"/>
      <c r="M34" s="27">
        <v>3600</v>
      </c>
      <c r="N34" s="27">
        <v>62500</v>
      </c>
    </row>
    <row r="35" spans="6:14">
      <c r="J35">
        <v>3600</v>
      </c>
      <c r="K35" s="30">
        <v>62500</v>
      </c>
      <c r="L35"/>
      <c r="M35" s="27">
        <v>3800</v>
      </c>
      <c r="N35" s="27">
        <v>48000</v>
      </c>
    </row>
    <row r="36" spans="6:14">
      <c r="J36">
        <v>3800</v>
      </c>
      <c r="K36" s="30">
        <v>48000</v>
      </c>
      <c r="L36"/>
      <c r="M36" s="27">
        <v>3900</v>
      </c>
      <c r="N36" s="27">
        <v>55666.666666666664</v>
      </c>
    </row>
    <row r="37" spans="6:14">
      <c r="J37">
        <v>3900</v>
      </c>
      <c r="K37" s="30">
        <v>55666.666666666664</v>
      </c>
      <c r="L37"/>
      <c r="M37" s="27">
        <v>4000</v>
      </c>
      <c r="N37" s="27">
        <v>26000</v>
      </c>
    </row>
    <row r="38" spans="6:14">
      <c r="J38">
        <v>4000</v>
      </c>
      <c r="K38" s="30">
        <v>26000</v>
      </c>
      <c r="L38"/>
      <c r="M38" s="27">
        <v>4100</v>
      </c>
      <c r="N38" s="27">
        <v>44250</v>
      </c>
    </row>
    <row r="39" spans="6:14">
      <c r="J39">
        <v>4100</v>
      </c>
      <c r="K39" s="30">
        <v>44250</v>
      </c>
      <c r="M39" s="27">
        <v>4400</v>
      </c>
      <c r="N39" s="27">
        <v>25000</v>
      </c>
    </row>
    <row r="40" spans="6:14">
      <c r="J40">
        <v>4400</v>
      </c>
      <c r="K40" s="30">
        <v>25000</v>
      </c>
      <c r="M40" s="27">
        <v>4500</v>
      </c>
      <c r="N40" s="27">
        <v>64500</v>
      </c>
    </row>
    <row r="41" spans="6:14">
      <c r="J41">
        <v>4500</v>
      </c>
      <c r="K41" s="30">
        <v>64500</v>
      </c>
      <c r="M41" s="27">
        <v>4800</v>
      </c>
      <c r="N41" s="27">
        <v>15500</v>
      </c>
    </row>
    <row r="42" spans="6:14">
      <c r="J42">
        <v>4800</v>
      </c>
      <c r="K42" s="30">
        <v>15500</v>
      </c>
      <c r="M42" s="27">
        <v>5000</v>
      </c>
      <c r="N42" s="27">
        <v>43000</v>
      </c>
    </row>
    <row r="43" spans="6:14">
      <c r="J43">
        <v>5000</v>
      </c>
      <c r="K43" s="30">
        <v>43000</v>
      </c>
      <c r="M43" s="27">
        <v>5100</v>
      </c>
      <c r="N43" s="27">
        <v>35500</v>
      </c>
    </row>
    <row r="44" spans="6:14">
      <c r="J44">
        <v>5100</v>
      </c>
      <c r="K44" s="30">
        <v>35500</v>
      </c>
      <c r="M44" s="27">
        <v>5300</v>
      </c>
      <c r="N44" s="27">
        <v>57000</v>
      </c>
    </row>
    <row r="45" spans="6:14">
      <c r="J45">
        <v>5300</v>
      </c>
      <c r="K45" s="30">
        <v>57000</v>
      </c>
      <c r="M45" s="27">
        <v>5400</v>
      </c>
      <c r="N45" s="27">
        <v>62500</v>
      </c>
    </row>
    <row r="46" spans="6:14">
      <c r="J46">
        <v>5400</v>
      </c>
      <c r="K46" s="30">
        <v>62500</v>
      </c>
      <c r="M46" s="27">
        <v>5500</v>
      </c>
      <c r="N46" s="27">
        <v>65500</v>
      </c>
    </row>
    <row r="47" spans="6:14">
      <c r="J47">
        <v>5500</v>
      </c>
      <c r="K47" s="30">
        <v>65500</v>
      </c>
      <c r="M47" s="27">
        <v>6000</v>
      </c>
    </row>
    <row r="48" spans="6:14">
      <c r="J48">
        <v>6000</v>
      </c>
      <c r="K48" s="30"/>
      <c r="M48" s="27">
        <v>6100</v>
      </c>
      <c r="N48" s="27">
        <v>40500</v>
      </c>
    </row>
    <row r="49" spans="10:14">
      <c r="J49">
        <v>6100</v>
      </c>
      <c r="K49" s="30">
        <v>40500</v>
      </c>
      <c r="M49" s="27">
        <v>6300</v>
      </c>
      <c r="N49" s="27">
        <v>27500</v>
      </c>
    </row>
    <row r="50" spans="10:14">
      <c r="J50">
        <v>6300</v>
      </c>
      <c r="K50" s="30">
        <v>27500</v>
      </c>
      <c r="M50" s="27">
        <v>6400</v>
      </c>
      <c r="N50" s="27">
        <v>31333.333333333332</v>
      </c>
    </row>
    <row r="51" spans="10:14">
      <c r="J51">
        <v>6400</v>
      </c>
      <c r="K51" s="30">
        <v>31333.333333333332</v>
      </c>
      <c r="M51" s="27">
        <v>6500</v>
      </c>
      <c r="N51" s="27">
        <v>41500</v>
      </c>
    </row>
    <row r="52" spans="10:14">
      <c r="J52">
        <v>6500</v>
      </c>
      <c r="K52" s="30">
        <v>41500</v>
      </c>
      <c r="M52" s="27">
        <v>6600</v>
      </c>
      <c r="N52" s="27">
        <v>3000</v>
      </c>
    </row>
    <row r="53" spans="10:14">
      <c r="J53">
        <v>6600</v>
      </c>
      <c r="K53" s="30">
        <v>3000</v>
      </c>
      <c r="M53" s="27">
        <v>6700</v>
      </c>
      <c r="N53" s="27">
        <v>2000</v>
      </c>
    </row>
    <row r="54" spans="10:14">
      <c r="J54">
        <v>6700</v>
      </c>
      <c r="K54" s="30">
        <v>2000</v>
      </c>
      <c r="M54" s="27">
        <v>6800</v>
      </c>
      <c r="N54" s="27">
        <v>56500</v>
      </c>
    </row>
    <row r="55" spans="10:14">
      <c r="J55">
        <v>6800</v>
      </c>
      <c r="K55" s="30">
        <v>56500</v>
      </c>
      <c r="M55" s="27">
        <v>6900</v>
      </c>
      <c r="N55" s="27">
        <v>23500</v>
      </c>
    </row>
    <row r="56" spans="10:14">
      <c r="J56">
        <v>6900</v>
      </c>
      <c r="K56" s="30">
        <v>23500</v>
      </c>
      <c r="M56" s="27">
        <v>7000</v>
      </c>
      <c r="N56" s="27">
        <v>67500</v>
      </c>
    </row>
    <row r="57" spans="10:14">
      <c r="J57">
        <v>7000</v>
      </c>
      <c r="K57" s="30">
        <v>67500</v>
      </c>
      <c r="M57" s="27">
        <v>7100</v>
      </c>
      <c r="N57" s="27">
        <v>28833.333333333332</v>
      </c>
    </row>
    <row r="58" spans="10:14">
      <c r="J58">
        <v>7100</v>
      </c>
      <c r="K58" s="30">
        <v>28833.333333333332</v>
      </c>
      <c r="M58" s="27">
        <v>7200</v>
      </c>
      <c r="N58" s="27">
        <v>25250</v>
      </c>
    </row>
    <row r="59" spans="10:14">
      <c r="J59">
        <v>7200</v>
      </c>
      <c r="K59" s="30">
        <v>25250</v>
      </c>
      <c r="M59" s="27">
        <v>7300</v>
      </c>
      <c r="N59" s="27">
        <v>52500</v>
      </c>
    </row>
    <row r="60" spans="10:14">
      <c r="J60">
        <v>7300</v>
      </c>
      <c r="K60" s="30">
        <v>52500</v>
      </c>
      <c r="M60" s="27">
        <v>8000</v>
      </c>
      <c r="N60" s="27">
        <v>66000</v>
      </c>
    </row>
    <row r="61" spans="10:14">
      <c r="J61">
        <v>8000</v>
      </c>
      <c r="K61" s="30">
        <v>66000</v>
      </c>
      <c r="M61" s="27">
        <v>8100</v>
      </c>
    </row>
    <row r="62" spans="10:14">
      <c r="J62">
        <v>8100</v>
      </c>
      <c r="K62" s="30"/>
      <c r="M62" s="27">
        <v>8200</v>
      </c>
      <c r="N62" s="27">
        <v>32500</v>
      </c>
    </row>
    <row r="63" spans="10:14">
      <c r="J63">
        <v>8200</v>
      </c>
      <c r="K63" s="30">
        <v>32500</v>
      </c>
      <c r="M63" s="27">
        <v>8400</v>
      </c>
      <c r="N63" s="27">
        <v>26000</v>
      </c>
    </row>
    <row r="64" spans="10:14">
      <c r="J64">
        <v>8400</v>
      </c>
      <c r="K64" s="30">
        <v>26000</v>
      </c>
      <c r="M64" s="27">
        <v>8500</v>
      </c>
      <c r="N64" s="27">
        <v>2500</v>
      </c>
    </row>
    <row r="65" spans="10:14">
      <c r="J65">
        <v>8500</v>
      </c>
      <c r="K65" s="30">
        <v>2500</v>
      </c>
      <c r="M65" s="27">
        <v>8600</v>
      </c>
      <c r="N65" s="27">
        <v>24500</v>
      </c>
    </row>
    <row r="66" spans="10:14">
      <c r="J66">
        <v>8600</v>
      </c>
      <c r="K66" s="30">
        <v>24500</v>
      </c>
      <c r="M66" s="27">
        <v>8700</v>
      </c>
      <c r="N66" s="27">
        <v>53000</v>
      </c>
    </row>
    <row r="67" spans="10:14">
      <c r="J67">
        <v>8700</v>
      </c>
      <c r="K67" s="30">
        <v>53000</v>
      </c>
      <c r="M67" s="27">
        <v>8800</v>
      </c>
      <c r="N67" s="27">
        <v>27000</v>
      </c>
    </row>
    <row r="68" spans="10:14">
      <c r="J68">
        <v>8800</v>
      </c>
      <c r="K68" s="30">
        <v>27000</v>
      </c>
      <c r="M68" s="27">
        <v>8900</v>
      </c>
      <c r="N68" s="27">
        <v>89500</v>
      </c>
    </row>
    <row r="69" spans="10:14">
      <c r="J69">
        <v>8900</v>
      </c>
      <c r="K69" s="30">
        <v>89500</v>
      </c>
      <c r="M69" s="27">
        <v>9000</v>
      </c>
      <c r="N69" s="27">
        <v>98500</v>
      </c>
    </row>
    <row r="70" spans="10:14">
      <c r="J70">
        <v>9000</v>
      </c>
      <c r="K70" s="30">
        <v>98500</v>
      </c>
      <c r="M70" s="27">
        <v>9100</v>
      </c>
      <c r="N70" s="27">
        <v>55250</v>
      </c>
    </row>
    <row r="71" spans="10:14">
      <c r="J71">
        <v>9100</v>
      </c>
      <c r="K71" s="30">
        <v>55250</v>
      </c>
      <c r="M71" s="27">
        <v>9200</v>
      </c>
      <c r="N71" s="27">
        <v>32000</v>
      </c>
    </row>
    <row r="72" spans="10:14">
      <c r="J72">
        <v>9200</v>
      </c>
      <c r="K72" s="30">
        <v>32000</v>
      </c>
      <c r="M72" s="27">
        <v>9300</v>
      </c>
      <c r="N72" s="27">
        <v>76000</v>
      </c>
    </row>
    <row r="73" spans="10:14">
      <c r="J73">
        <v>9300</v>
      </c>
      <c r="K73" s="30">
        <v>76000</v>
      </c>
      <c r="M73" s="27">
        <v>9400</v>
      </c>
      <c r="N73" s="27">
        <v>51000</v>
      </c>
    </row>
    <row r="74" spans="10:14">
      <c r="J74">
        <v>9400</v>
      </c>
      <c r="K74" s="30">
        <v>51000</v>
      </c>
      <c r="M74" s="27">
        <v>9500</v>
      </c>
      <c r="N74" s="27">
        <v>47250</v>
      </c>
    </row>
    <row r="75" spans="10:14">
      <c r="J75">
        <v>9500</v>
      </c>
      <c r="K75" s="30">
        <v>47250</v>
      </c>
      <c r="M75" s="27">
        <v>9600</v>
      </c>
      <c r="N75" s="27">
        <v>83666.666666666672</v>
      </c>
    </row>
    <row r="76" spans="10:14">
      <c r="J76">
        <v>9600</v>
      </c>
      <c r="K76" s="30">
        <v>83666.666666666672</v>
      </c>
      <c r="M76" s="27">
        <v>9700</v>
      </c>
      <c r="N76" s="27">
        <v>62000</v>
      </c>
    </row>
    <row r="77" spans="10:14">
      <c r="J77">
        <v>9700</v>
      </c>
      <c r="K77" s="30">
        <v>62000</v>
      </c>
      <c r="M77" s="27">
        <v>9800</v>
      </c>
      <c r="N77" s="27">
        <v>5000</v>
      </c>
    </row>
    <row r="78" spans="10:14">
      <c r="J78">
        <v>9800</v>
      </c>
      <c r="K78" s="30">
        <v>5000</v>
      </c>
      <c r="M78" s="27">
        <v>9900</v>
      </c>
      <c r="N78" s="27">
        <v>45500</v>
      </c>
    </row>
    <row r="79" spans="10:14">
      <c r="J79">
        <v>9900</v>
      </c>
      <c r="K79" s="30">
        <v>45500</v>
      </c>
      <c r="M79" s="27">
        <v>10000</v>
      </c>
      <c r="N79" s="27">
        <v>60000</v>
      </c>
    </row>
    <row r="80" spans="10:14">
      <c r="J80">
        <v>10000</v>
      </c>
      <c r="K80" s="30">
        <v>60000</v>
      </c>
      <c r="M80" s="27">
        <v>10100</v>
      </c>
      <c r="N80" s="27">
        <v>37500</v>
      </c>
    </row>
    <row r="81" spans="10:14">
      <c r="J81">
        <v>10100</v>
      </c>
      <c r="K81" s="30">
        <v>37500</v>
      </c>
      <c r="M81" s="27">
        <v>10200</v>
      </c>
      <c r="N81" s="27">
        <v>71500</v>
      </c>
    </row>
    <row r="82" spans="10:14">
      <c r="J82">
        <v>10200</v>
      </c>
      <c r="K82" s="30">
        <v>71500</v>
      </c>
      <c r="M82" s="27">
        <v>10400</v>
      </c>
      <c r="N82" s="27">
        <v>10500</v>
      </c>
    </row>
    <row r="83" spans="10:14">
      <c r="J83">
        <v>10400</v>
      </c>
      <c r="K83" s="30">
        <v>10500</v>
      </c>
      <c r="M83" s="27">
        <v>10500</v>
      </c>
      <c r="N83" s="27">
        <v>15250</v>
      </c>
    </row>
    <row r="84" spans="10:14">
      <c r="J84">
        <v>10500</v>
      </c>
      <c r="K84" s="30">
        <v>15250</v>
      </c>
      <c r="M84" s="27">
        <v>10700</v>
      </c>
      <c r="N84" s="27">
        <v>34833.333333333336</v>
      </c>
    </row>
    <row r="85" spans="10:14">
      <c r="J85">
        <v>10700</v>
      </c>
      <c r="K85" s="30">
        <v>34833.333333333336</v>
      </c>
      <c r="M85" s="27">
        <v>11000</v>
      </c>
      <c r="N85" s="27">
        <v>35000</v>
      </c>
    </row>
    <row r="86" spans="10:14">
      <c r="J86">
        <v>11000</v>
      </c>
      <c r="K86" s="30">
        <v>35000</v>
      </c>
      <c r="M86" s="27">
        <v>11100</v>
      </c>
      <c r="N86" s="27">
        <v>4500</v>
      </c>
    </row>
    <row r="87" spans="10:14">
      <c r="J87">
        <v>11100</v>
      </c>
      <c r="K87" s="30">
        <v>4500</v>
      </c>
      <c r="M87" s="27">
        <v>11200</v>
      </c>
      <c r="N87" s="27">
        <v>8000</v>
      </c>
    </row>
    <row r="88" spans="10:14">
      <c r="J88">
        <v>11200</v>
      </c>
      <c r="K88" s="30">
        <v>8000</v>
      </c>
      <c r="M88" s="27">
        <v>11300</v>
      </c>
      <c r="N88" s="27">
        <v>61250</v>
      </c>
    </row>
    <row r="89" spans="10:14">
      <c r="J89">
        <v>11300</v>
      </c>
      <c r="K89" s="30">
        <v>61250</v>
      </c>
      <c r="M89" s="27">
        <v>11400</v>
      </c>
      <c r="N89" s="27">
        <v>67750</v>
      </c>
    </row>
    <row r="90" spans="10:14">
      <c r="J90">
        <v>11400</v>
      </c>
      <c r="K90" s="30">
        <v>67750</v>
      </c>
      <c r="M90" s="27">
        <v>11500</v>
      </c>
      <c r="N90" s="27">
        <v>5000</v>
      </c>
    </row>
    <row r="91" spans="10:14">
      <c r="J91">
        <v>11500</v>
      </c>
      <c r="K91" s="30">
        <v>5000</v>
      </c>
      <c r="M91" s="27">
        <v>11600</v>
      </c>
      <c r="N91" s="27">
        <v>84500</v>
      </c>
    </row>
    <row r="92" spans="10:14">
      <c r="J92">
        <v>11600</v>
      </c>
      <c r="K92" s="30">
        <v>84500</v>
      </c>
      <c r="M92" s="27">
        <v>11800</v>
      </c>
      <c r="N92" s="27">
        <v>52500</v>
      </c>
    </row>
    <row r="93" spans="10:14">
      <c r="J93">
        <v>11800</v>
      </c>
      <c r="K93" s="30">
        <v>52500</v>
      </c>
      <c r="M93" s="27">
        <v>11900</v>
      </c>
      <c r="N93" s="27">
        <v>50500</v>
      </c>
    </row>
    <row r="94" spans="10:14">
      <c r="J94">
        <v>11900</v>
      </c>
      <c r="K94" s="30">
        <v>50500</v>
      </c>
      <c r="M94" s="27">
        <v>12200</v>
      </c>
    </row>
    <row r="95" spans="10:14">
      <c r="J95">
        <v>12200</v>
      </c>
      <c r="K95" s="30"/>
      <c r="M95" s="27">
        <v>12400</v>
      </c>
      <c r="N95" s="27">
        <v>49500</v>
      </c>
    </row>
    <row r="96" spans="10:14">
      <c r="J96">
        <v>12400</v>
      </c>
      <c r="K96" s="30">
        <v>49500</v>
      </c>
      <c r="M96" s="27">
        <v>12500</v>
      </c>
      <c r="N96" s="27">
        <v>76250</v>
      </c>
    </row>
    <row r="97" spans="10:14">
      <c r="J97">
        <v>12500</v>
      </c>
      <c r="K97" s="30">
        <v>76250</v>
      </c>
      <c r="M97" s="27">
        <v>12600</v>
      </c>
      <c r="N97" s="27">
        <v>79000</v>
      </c>
    </row>
    <row r="98" spans="10:14">
      <c r="J98">
        <v>12600</v>
      </c>
      <c r="K98" s="30">
        <v>79000</v>
      </c>
      <c r="M98" s="27">
        <v>12700</v>
      </c>
    </row>
    <row r="99" spans="10:14">
      <c r="J99">
        <v>12700</v>
      </c>
      <c r="K99" s="30"/>
      <c r="M99" s="27">
        <v>12800</v>
      </c>
    </row>
    <row r="100" spans="10:14">
      <c r="J100">
        <v>12800</v>
      </c>
      <c r="K100" s="30"/>
      <c r="M100" s="27">
        <v>12900</v>
      </c>
      <c r="N100" s="27">
        <v>17500</v>
      </c>
    </row>
    <row r="101" spans="10:14">
      <c r="J101">
        <v>12900</v>
      </c>
      <c r="K101" s="30">
        <v>17500</v>
      </c>
      <c r="M101" s="27">
        <v>13200</v>
      </c>
      <c r="N101" s="27">
        <v>74250</v>
      </c>
    </row>
    <row r="102" spans="10:14">
      <c r="J102">
        <v>13200</v>
      </c>
      <c r="K102" s="30">
        <v>74250</v>
      </c>
      <c r="M102" s="27">
        <v>13300</v>
      </c>
      <c r="N102" s="27">
        <v>29000</v>
      </c>
    </row>
    <row r="103" spans="10:14">
      <c r="J103">
        <v>13300</v>
      </c>
      <c r="K103" s="30">
        <v>29000</v>
      </c>
      <c r="M103" s="27">
        <v>13400</v>
      </c>
      <c r="N103" s="27">
        <v>29500</v>
      </c>
    </row>
    <row r="104" spans="10:14">
      <c r="J104">
        <v>13400</v>
      </c>
      <c r="K104" s="30">
        <v>29500</v>
      </c>
      <c r="M104" s="27">
        <v>13500</v>
      </c>
      <c r="N104" s="27">
        <v>91000</v>
      </c>
    </row>
    <row r="105" spans="10:14">
      <c r="J105">
        <v>13500</v>
      </c>
      <c r="K105" s="30">
        <v>91000</v>
      </c>
      <c r="M105" s="27">
        <v>13800</v>
      </c>
      <c r="N105" s="27">
        <v>67500</v>
      </c>
    </row>
    <row r="106" spans="10:14">
      <c r="J106">
        <v>13800</v>
      </c>
      <c r="K106" s="30">
        <v>67500</v>
      </c>
      <c r="M106" s="27">
        <v>13900</v>
      </c>
      <c r="N106" s="27">
        <v>81000</v>
      </c>
    </row>
    <row r="107" spans="10:14">
      <c r="J107">
        <v>13900</v>
      </c>
      <c r="K107" s="30">
        <v>81000</v>
      </c>
      <c r="M107" s="27">
        <v>14000</v>
      </c>
      <c r="N107" s="27">
        <v>62750</v>
      </c>
    </row>
    <row r="108" spans="10:14">
      <c r="J108">
        <v>14000</v>
      </c>
      <c r="K108" s="30">
        <v>62750</v>
      </c>
      <c r="M108" s="27">
        <v>14100</v>
      </c>
      <c r="N108" s="27">
        <v>48750</v>
      </c>
    </row>
    <row r="109" spans="10:14">
      <c r="J109">
        <v>14100</v>
      </c>
      <c r="K109" s="30">
        <v>48750</v>
      </c>
      <c r="M109" s="27">
        <v>14200</v>
      </c>
      <c r="N109" s="27">
        <v>80000</v>
      </c>
    </row>
    <row r="110" spans="10:14">
      <c r="J110">
        <v>14200</v>
      </c>
      <c r="K110" s="30">
        <v>80000</v>
      </c>
      <c r="M110" s="27">
        <v>14300</v>
      </c>
      <c r="N110" s="27">
        <v>25750</v>
      </c>
    </row>
    <row r="111" spans="10:14">
      <c r="J111">
        <v>14300</v>
      </c>
      <c r="K111" s="30">
        <v>25750</v>
      </c>
      <c r="M111" s="27">
        <v>14400</v>
      </c>
      <c r="N111" s="27">
        <v>89500</v>
      </c>
    </row>
    <row r="112" spans="10:14">
      <c r="J112">
        <v>14400</v>
      </c>
      <c r="K112" s="30">
        <v>89500</v>
      </c>
      <c r="M112" s="27">
        <v>14500</v>
      </c>
      <c r="N112" s="27">
        <v>51000</v>
      </c>
    </row>
    <row r="113" spans="10:14">
      <c r="J113">
        <v>14500</v>
      </c>
      <c r="K113" s="30">
        <v>51000</v>
      </c>
      <c r="M113" s="27">
        <v>14600</v>
      </c>
      <c r="N113" s="27">
        <v>16500</v>
      </c>
    </row>
    <row r="114" spans="10:14">
      <c r="J114">
        <v>14600</v>
      </c>
      <c r="K114" s="30">
        <v>16500</v>
      </c>
      <c r="M114" s="27">
        <v>14700</v>
      </c>
      <c r="N114" s="27">
        <v>18000</v>
      </c>
    </row>
    <row r="115" spans="10:14">
      <c r="J115">
        <v>14700</v>
      </c>
      <c r="K115" s="30">
        <v>18000</v>
      </c>
      <c r="M115" s="27">
        <v>14900</v>
      </c>
      <c r="N115" s="27">
        <v>41500</v>
      </c>
    </row>
    <row r="116" spans="10:14">
      <c r="J116">
        <v>14900</v>
      </c>
      <c r="K116" s="30">
        <v>41500</v>
      </c>
      <c r="M116" s="27">
        <v>15000</v>
      </c>
    </row>
    <row r="117" spans="10:14">
      <c r="J117">
        <v>15000</v>
      </c>
      <c r="K117" s="30"/>
      <c r="M117" s="27">
        <v>15100</v>
      </c>
      <c r="N117" s="27">
        <v>26000</v>
      </c>
    </row>
    <row r="118" spans="10:14">
      <c r="J118">
        <v>15100</v>
      </c>
      <c r="K118" s="30">
        <v>26000</v>
      </c>
      <c r="M118" s="27">
        <v>15200</v>
      </c>
      <c r="N118" s="27">
        <v>69000</v>
      </c>
    </row>
    <row r="119" spans="10:14">
      <c r="J119">
        <v>15200</v>
      </c>
      <c r="K119" s="30">
        <v>69000</v>
      </c>
      <c r="M119" s="27">
        <v>15500</v>
      </c>
      <c r="N119" s="27">
        <v>17000</v>
      </c>
    </row>
    <row r="120" spans="10:14">
      <c r="J120">
        <v>15500</v>
      </c>
      <c r="K120" s="30">
        <v>17000</v>
      </c>
      <c r="M120" s="27">
        <v>15600</v>
      </c>
      <c r="N120" s="27">
        <v>57000</v>
      </c>
    </row>
    <row r="121" spans="10:14">
      <c r="J121">
        <v>15600</v>
      </c>
      <c r="K121" s="30">
        <v>57000</v>
      </c>
      <c r="M121" s="27">
        <v>15800</v>
      </c>
      <c r="N121" s="27">
        <v>73000</v>
      </c>
    </row>
    <row r="122" spans="10:14">
      <c r="J122">
        <v>15800</v>
      </c>
      <c r="K122" s="30">
        <v>73000</v>
      </c>
      <c r="M122" s="27">
        <v>16000</v>
      </c>
      <c r="N122" s="27">
        <v>34500</v>
      </c>
    </row>
    <row r="123" spans="10:14">
      <c r="J123">
        <v>16000</v>
      </c>
      <c r="K123" s="30">
        <v>34500</v>
      </c>
      <c r="M123" s="27">
        <v>16100</v>
      </c>
      <c r="N123" s="27">
        <v>15500</v>
      </c>
    </row>
    <row r="124" spans="10:14">
      <c r="J124">
        <v>16100</v>
      </c>
      <c r="K124" s="30">
        <v>15500</v>
      </c>
      <c r="M124" s="27">
        <v>16200</v>
      </c>
      <c r="N124" s="27">
        <v>41750</v>
      </c>
    </row>
    <row r="125" spans="10:14">
      <c r="J125">
        <v>16200</v>
      </c>
      <c r="K125" s="30">
        <v>41750</v>
      </c>
      <c r="M125" s="27">
        <v>16300</v>
      </c>
      <c r="N125" s="27">
        <v>17000</v>
      </c>
    </row>
    <row r="126" spans="10:14">
      <c r="J126">
        <v>16300</v>
      </c>
      <c r="K126" s="30">
        <v>17000</v>
      </c>
      <c r="M126" s="27">
        <v>16400</v>
      </c>
      <c r="N126" s="27">
        <v>4500</v>
      </c>
    </row>
    <row r="127" spans="10:14">
      <c r="J127">
        <v>16400</v>
      </c>
      <c r="K127" s="30">
        <v>4500</v>
      </c>
      <c r="M127" s="27">
        <v>16500</v>
      </c>
    </row>
    <row r="128" spans="10:14">
      <c r="J128">
        <v>16500</v>
      </c>
      <c r="K128" s="30"/>
      <c r="M128" s="27">
        <v>16600</v>
      </c>
      <c r="N128" s="27">
        <v>8500</v>
      </c>
    </row>
    <row r="129" spans="10:14">
      <c r="J129">
        <v>16600</v>
      </c>
      <c r="K129" s="30">
        <v>8500</v>
      </c>
      <c r="M129" s="27">
        <v>16800</v>
      </c>
      <c r="N129" s="27">
        <v>81500</v>
      </c>
    </row>
    <row r="130" spans="10:14">
      <c r="J130">
        <v>16800</v>
      </c>
      <c r="K130" s="30">
        <v>81500</v>
      </c>
      <c r="M130" s="27">
        <v>16900</v>
      </c>
      <c r="N130" s="27">
        <v>17500</v>
      </c>
    </row>
    <row r="131" spans="10:14">
      <c r="J131">
        <v>16900</v>
      </c>
      <c r="K131" s="30">
        <v>17500</v>
      </c>
      <c r="M131" s="27">
        <v>17000</v>
      </c>
      <c r="N131" s="27">
        <v>65500</v>
      </c>
    </row>
    <row r="132" spans="10:14">
      <c r="J132">
        <v>17000</v>
      </c>
      <c r="K132" s="30">
        <v>65500</v>
      </c>
      <c r="M132" s="27">
        <v>17300</v>
      </c>
      <c r="N132" s="27">
        <v>16250</v>
      </c>
    </row>
    <row r="133" spans="10:14">
      <c r="J133">
        <v>17300</v>
      </c>
      <c r="K133" s="30">
        <v>16250</v>
      </c>
      <c r="M133" s="27">
        <v>17400</v>
      </c>
      <c r="N133" s="27">
        <v>32000</v>
      </c>
    </row>
    <row r="134" spans="10:14">
      <c r="J134">
        <v>17400</v>
      </c>
      <c r="K134" s="30">
        <v>32000</v>
      </c>
      <c r="M134" s="27">
        <v>17500</v>
      </c>
      <c r="N134" s="27">
        <v>83500</v>
      </c>
    </row>
    <row r="135" spans="10:14">
      <c r="J135">
        <v>17500</v>
      </c>
      <c r="K135" s="30">
        <v>83500</v>
      </c>
      <c r="M135" s="27">
        <v>17600</v>
      </c>
      <c r="N135" s="27">
        <v>58250</v>
      </c>
    </row>
    <row r="136" spans="10:14">
      <c r="J136">
        <v>17600</v>
      </c>
      <c r="K136" s="30">
        <v>58250</v>
      </c>
      <c r="M136" s="27">
        <v>17800</v>
      </c>
      <c r="N136" s="27">
        <v>11000</v>
      </c>
    </row>
    <row r="137" spans="10:14">
      <c r="J137">
        <v>17800</v>
      </c>
      <c r="K137" s="30">
        <v>11000</v>
      </c>
      <c r="M137" s="27">
        <v>17900</v>
      </c>
    </row>
    <row r="138" spans="10:14">
      <c r="J138">
        <v>17900</v>
      </c>
      <c r="K138" s="30"/>
      <c r="M138" s="27">
        <v>18000</v>
      </c>
      <c r="N138" s="27">
        <v>18000</v>
      </c>
    </row>
    <row r="139" spans="10:14">
      <c r="J139">
        <v>18000</v>
      </c>
      <c r="K139" s="30">
        <v>18000</v>
      </c>
      <c r="M139" s="27">
        <v>18100</v>
      </c>
      <c r="N139" s="27">
        <v>36500</v>
      </c>
    </row>
    <row r="140" spans="10:14">
      <c r="J140">
        <v>18100</v>
      </c>
      <c r="K140" s="30">
        <v>36500</v>
      </c>
      <c r="M140" s="27">
        <v>18200</v>
      </c>
      <c r="N140" s="27">
        <v>49333.333333333336</v>
      </c>
    </row>
    <row r="141" spans="10:14">
      <c r="J141">
        <v>18200</v>
      </c>
      <c r="K141" s="30">
        <v>49333.333333333336</v>
      </c>
      <c r="M141" s="27">
        <v>18300</v>
      </c>
      <c r="N141" s="27">
        <v>36000</v>
      </c>
    </row>
    <row r="142" spans="10:14">
      <c r="J142">
        <v>18300</v>
      </c>
      <c r="K142" s="30">
        <v>36000</v>
      </c>
      <c r="M142" s="27">
        <v>18400</v>
      </c>
      <c r="N142" s="27">
        <v>42500</v>
      </c>
    </row>
    <row r="143" spans="10:14">
      <c r="J143">
        <v>18400</v>
      </c>
      <c r="K143" s="30">
        <v>42500</v>
      </c>
      <c r="M143" s="27">
        <v>18500</v>
      </c>
      <c r="N143" s="27">
        <v>89166.666666666672</v>
      </c>
    </row>
    <row r="144" spans="10:14">
      <c r="J144">
        <v>18500</v>
      </c>
      <c r="K144" s="30">
        <v>89166.666666666672</v>
      </c>
      <c r="M144" s="27">
        <v>18700</v>
      </c>
      <c r="N144" s="27">
        <v>42500</v>
      </c>
    </row>
    <row r="145" spans="10:14">
      <c r="J145">
        <v>18700</v>
      </c>
      <c r="K145" s="30">
        <v>42500</v>
      </c>
      <c r="M145" s="27">
        <v>18900</v>
      </c>
      <c r="N145" s="27">
        <v>4500</v>
      </c>
    </row>
    <row r="146" spans="10:14">
      <c r="J146">
        <v>18900</v>
      </c>
      <c r="K146" s="30">
        <v>4500</v>
      </c>
      <c r="M146" s="27">
        <v>19400</v>
      </c>
      <c r="N146" s="27">
        <v>4500</v>
      </c>
    </row>
    <row r="147" spans="10:14">
      <c r="J147">
        <v>19400</v>
      </c>
      <c r="K147" s="30">
        <v>4500</v>
      </c>
      <c r="M147" s="27">
        <v>19500</v>
      </c>
      <c r="N147" s="27">
        <v>48000</v>
      </c>
    </row>
    <row r="148" spans="10:14">
      <c r="J148">
        <v>19500</v>
      </c>
      <c r="K148" s="30">
        <v>48000</v>
      </c>
      <c r="M148" s="27">
        <v>19800</v>
      </c>
      <c r="N148" s="27">
        <v>11000</v>
      </c>
    </row>
    <row r="149" spans="10:14">
      <c r="J149">
        <v>19800</v>
      </c>
      <c r="K149" s="30">
        <v>11000</v>
      </c>
      <c r="M149" s="27">
        <v>19900</v>
      </c>
      <c r="N149" s="27">
        <v>69666.666666666672</v>
      </c>
    </row>
    <row r="150" spans="10:14">
      <c r="J150">
        <v>19900</v>
      </c>
      <c r="K150" s="30">
        <v>69666.666666666672</v>
      </c>
      <c r="M150" s="27">
        <v>20000</v>
      </c>
      <c r="N150" s="27">
        <v>38500</v>
      </c>
    </row>
    <row r="151" spans="10:14">
      <c r="J151">
        <v>20000</v>
      </c>
      <c r="K151" s="30">
        <v>38500</v>
      </c>
      <c r="M151" s="27">
        <v>20100</v>
      </c>
      <c r="N151" s="27">
        <v>8500</v>
      </c>
    </row>
    <row r="152" spans="10:14">
      <c r="J152">
        <v>20100</v>
      </c>
      <c r="K152" s="30">
        <v>8500</v>
      </c>
      <c r="M152" s="27">
        <v>20200</v>
      </c>
      <c r="N152" s="27">
        <v>22250</v>
      </c>
    </row>
    <row r="153" spans="10:14">
      <c r="J153">
        <v>20200</v>
      </c>
      <c r="K153" s="30">
        <v>22250</v>
      </c>
      <c r="M153" s="27">
        <v>20300</v>
      </c>
      <c r="N153" s="27">
        <v>42750</v>
      </c>
    </row>
    <row r="154" spans="10:14">
      <c r="J154">
        <v>20300</v>
      </c>
      <c r="K154" s="30">
        <v>42750</v>
      </c>
      <c r="M154" s="27">
        <v>20400</v>
      </c>
      <c r="N154" s="27">
        <v>35000</v>
      </c>
    </row>
    <row r="155" spans="10:14">
      <c r="J155">
        <v>20400</v>
      </c>
      <c r="K155" s="30">
        <v>35000</v>
      </c>
      <c r="M155" s="27">
        <v>20500</v>
      </c>
      <c r="N155" s="27">
        <v>26000</v>
      </c>
    </row>
    <row r="156" spans="10:14">
      <c r="J156">
        <v>20500</v>
      </c>
      <c r="K156" s="30">
        <v>26000</v>
      </c>
      <c r="M156" s="27">
        <v>20600</v>
      </c>
      <c r="N156" s="27">
        <v>20000</v>
      </c>
    </row>
    <row r="157" spans="10:14">
      <c r="J157">
        <v>20600</v>
      </c>
      <c r="K157" s="30">
        <v>20000</v>
      </c>
      <c r="M157" s="27">
        <v>20700</v>
      </c>
      <c r="N157" s="27">
        <v>14000</v>
      </c>
    </row>
    <row r="158" spans="10:14">
      <c r="J158">
        <v>20700</v>
      </c>
      <c r="K158" s="30">
        <v>14000</v>
      </c>
      <c r="M158" s="27">
        <v>20800</v>
      </c>
      <c r="N158" s="27">
        <v>51166.666666666664</v>
      </c>
    </row>
    <row r="159" spans="10:14">
      <c r="J159">
        <v>20800</v>
      </c>
      <c r="K159" s="30">
        <v>51166.666666666664</v>
      </c>
      <c r="M159" s="27">
        <v>20900</v>
      </c>
      <c r="N159" s="27">
        <v>10500</v>
      </c>
    </row>
    <row r="160" spans="10:14">
      <c r="J160">
        <v>20900</v>
      </c>
      <c r="K160" s="30">
        <v>10500</v>
      </c>
      <c r="M160" s="27">
        <v>21000</v>
      </c>
      <c r="N160" s="27">
        <v>61500</v>
      </c>
    </row>
    <row r="161" spans="10:14">
      <c r="J161">
        <v>21000</v>
      </c>
      <c r="K161" s="30">
        <v>61500</v>
      </c>
      <c r="M161" s="27">
        <v>21100</v>
      </c>
      <c r="N161" s="27">
        <v>35500</v>
      </c>
    </row>
    <row r="162" spans="10:14">
      <c r="J162">
        <v>21100</v>
      </c>
      <c r="K162" s="30">
        <v>35500</v>
      </c>
      <c r="M162" s="27">
        <v>21200</v>
      </c>
      <c r="N162" s="27">
        <v>16500</v>
      </c>
    </row>
    <row r="163" spans="10:14">
      <c r="J163">
        <v>21200</v>
      </c>
      <c r="K163" s="30">
        <v>16500</v>
      </c>
      <c r="M163" s="27">
        <v>21300</v>
      </c>
      <c r="N163" s="27">
        <v>36750</v>
      </c>
    </row>
    <row r="164" spans="10:14">
      <c r="J164">
        <v>21300</v>
      </c>
      <c r="K164" s="30">
        <v>36750</v>
      </c>
      <c r="M164" s="27">
        <v>21500</v>
      </c>
      <c r="N164" s="27">
        <v>48500</v>
      </c>
    </row>
    <row r="165" spans="10:14">
      <c r="J165">
        <v>21500</v>
      </c>
      <c r="K165" s="30">
        <v>48500</v>
      </c>
      <c r="M165" s="27">
        <v>21600</v>
      </c>
      <c r="N165" s="27">
        <v>56000</v>
      </c>
    </row>
    <row r="166" spans="10:14">
      <c r="J166">
        <v>21600</v>
      </c>
      <c r="K166" s="30">
        <v>56000</v>
      </c>
      <c r="M166" s="27">
        <v>21700</v>
      </c>
      <c r="N166" s="27">
        <v>78250</v>
      </c>
    </row>
    <row r="167" spans="10:14">
      <c r="J167">
        <v>21700</v>
      </c>
      <c r="K167" s="30">
        <v>78250</v>
      </c>
      <c r="M167" s="27">
        <v>21900</v>
      </c>
      <c r="N167" s="27">
        <v>44500</v>
      </c>
    </row>
    <row r="168" spans="10:14">
      <c r="J168">
        <v>21900</v>
      </c>
      <c r="K168" s="30">
        <v>44500</v>
      </c>
      <c r="M168" s="27">
        <v>22100</v>
      </c>
      <c r="N168" s="27">
        <v>68166.666666666672</v>
      </c>
    </row>
    <row r="169" spans="10:14">
      <c r="J169">
        <v>22100</v>
      </c>
      <c r="K169" s="30">
        <v>68166.666666666672</v>
      </c>
      <c r="M169" s="27">
        <v>22200</v>
      </c>
      <c r="N169" s="27">
        <v>41250</v>
      </c>
    </row>
    <row r="170" spans="10:14">
      <c r="J170">
        <v>22200</v>
      </c>
      <c r="K170" s="30">
        <v>41250</v>
      </c>
      <c r="M170" s="27">
        <v>22500</v>
      </c>
      <c r="N170" s="27">
        <v>19500</v>
      </c>
    </row>
    <row r="171" spans="10:14">
      <c r="J171">
        <v>22500</v>
      </c>
      <c r="K171" s="30">
        <v>19500</v>
      </c>
      <c r="M171" s="27">
        <v>22600</v>
      </c>
      <c r="N171" s="27">
        <v>61333.333333333336</v>
      </c>
    </row>
    <row r="172" spans="10:14">
      <c r="J172">
        <v>22600</v>
      </c>
      <c r="K172" s="30">
        <v>61333.333333333336</v>
      </c>
      <c r="M172" s="27">
        <v>22700</v>
      </c>
      <c r="N172" s="27">
        <v>69000</v>
      </c>
    </row>
    <row r="173" spans="10:14">
      <c r="J173">
        <v>22700</v>
      </c>
      <c r="K173" s="30">
        <v>69000</v>
      </c>
      <c r="M173" s="27">
        <v>22800</v>
      </c>
      <c r="N173" s="27">
        <v>40750</v>
      </c>
    </row>
    <row r="174" spans="10:14">
      <c r="J174">
        <v>22800</v>
      </c>
      <c r="K174" s="30">
        <v>40750</v>
      </c>
      <c r="M174" s="27">
        <v>22900</v>
      </c>
      <c r="N174" s="27">
        <v>69166.666666666672</v>
      </c>
    </row>
    <row r="175" spans="10:14">
      <c r="J175">
        <v>22900</v>
      </c>
      <c r="K175" s="30">
        <v>69166.666666666672</v>
      </c>
      <c r="M175" s="27">
        <v>23000</v>
      </c>
      <c r="N175" s="27">
        <v>77500</v>
      </c>
    </row>
    <row r="176" spans="10:14">
      <c r="J176">
        <v>23000</v>
      </c>
      <c r="K176" s="30">
        <v>77500</v>
      </c>
      <c r="M176" s="27">
        <v>23100</v>
      </c>
      <c r="N176" s="27">
        <v>33000</v>
      </c>
    </row>
    <row r="177" spans="10:14">
      <c r="J177">
        <v>23100</v>
      </c>
      <c r="K177" s="30">
        <v>33000</v>
      </c>
      <c r="M177" s="27">
        <v>23200</v>
      </c>
      <c r="N177" s="27">
        <v>16000</v>
      </c>
    </row>
    <row r="178" spans="10:14">
      <c r="J178">
        <v>23200</v>
      </c>
      <c r="K178" s="30">
        <v>16000</v>
      </c>
      <c r="M178" s="27">
        <v>23400</v>
      </c>
      <c r="N178" s="27">
        <v>29750</v>
      </c>
    </row>
    <row r="179" spans="10:14">
      <c r="J179">
        <v>23400</v>
      </c>
      <c r="K179" s="30">
        <v>29750</v>
      </c>
      <c r="M179" s="27">
        <v>23600</v>
      </c>
      <c r="N179" s="27">
        <v>33500</v>
      </c>
    </row>
    <row r="180" spans="10:14">
      <c r="J180">
        <v>23600</v>
      </c>
      <c r="K180" s="30">
        <v>33500</v>
      </c>
      <c r="M180" s="27">
        <v>23800</v>
      </c>
      <c r="N180" s="27">
        <v>92500</v>
      </c>
    </row>
    <row r="181" spans="10:14">
      <c r="J181">
        <v>23800</v>
      </c>
      <c r="K181" s="30">
        <v>92500</v>
      </c>
      <c r="M181" s="27">
        <v>23900</v>
      </c>
      <c r="N181" s="27">
        <v>11000</v>
      </c>
    </row>
    <row r="182" spans="10:14">
      <c r="J182">
        <v>23900</v>
      </c>
      <c r="K182" s="30">
        <v>11000</v>
      </c>
      <c r="M182" s="27">
        <v>24000</v>
      </c>
      <c r="N182" s="27">
        <v>62333.333333333336</v>
      </c>
    </row>
    <row r="183" spans="10:14">
      <c r="J183">
        <v>24000</v>
      </c>
      <c r="K183" s="30">
        <v>62333.333333333336</v>
      </c>
      <c r="M183" s="27">
        <v>24100</v>
      </c>
      <c r="N183" s="27">
        <v>54500</v>
      </c>
    </row>
    <row r="184" spans="10:14">
      <c r="J184">
        <v>24100</v>
      </c>
      <c r="K184" s="30">
        <v>54500</v>
      </c>
      <c r="M184" s="27">
        <v>24300</v>
      </c>
      <c r="N184" s="27">
        <v>69500</v>
      </c>
    </row>
    <row r="185" spans="10:14">
      <c r="J185">
        <v>24300</v>
      </c>
      <c r="K185" s="30">
        <v>69500</v>
      </c>
      <c r="M185" s="27">
        <v>24400</v>
      </c>
      <c r="N185" s="27">
        <v>71000</v>
      </c>
    </row>
    <row r="186" spans="10:14">
      <c r="J186">
        <v>24400</v>
      </c>
      <c r="K186" s="30">
        <v>71000</v>
      </c>
      <c r="M186" s="27">
        <v>24500</v>
      </c>
      <c r="N186" s="27">
        <v>61750</v>
      </c>
    </row>
    <row r="187" spans="10:14">
      <c r="J187">
        <v>24500</v>
      </c>
      <c r="K187" s="30">
        <v>61750</v>
      </c>
      <c r="M187" s="27">
        <v>24700</v>
      </c>
      <c r="N187" s="27">
        <v>79500</v>
      </c>
    </row>
    <row r="188" spans="10:14">
      <c r="J188">
        <v>24700</v>
      </c>
      <c r="K188" s="30">
        <v>79500</v>
      </c>
      <c r="M188" s="27">
        <v>24900</v>
      </c>
      <c r="N188" s="27">
        <v>48500</v>
      </c>
    </row>
    <row r="189" spans="10:14">
      <c r="J189">
        <v>24900</v>
      </c>
      <c r="K189" s="30">
        <v>48500</v>
      </c>
      <c r="M189" s="27">
        <v>25000</v>
      </c>
      <c r="N189" s="27">
        <v>68250</v>
      </c>
    </row>
    <row r="190" spans="10:14">
      <c r="J190">
        <v>25000</v>
      </c>
      <c r="K190" s="30">
        <v>68250</v>
      </c>
      <c r="M190" s="27">
        <v>25100</v>
      </c>
      <c r="N190" s="27">
        <v>46500</v>
      </c>
    </row>
    <row r="191" spans="10:14">
      <c r="J191">
        <v>25100</v>
      </c>
      <c r="K191" s="30">
        <v>46500</v>
      </c>
      <c r="M191" s="27">
        <v>25200</v>
      </c>
      <c r="N191" s="27">
        <v>68000</v>
      </c>
    </row>
    <row r="192" spans="10:14">
      <c r="J192">
        <v>25200</v>
      </c>
      <c r="K192" s="30">
        <v>68000</v>
      </c>
      <c r="M192" s="27">
        <v>25400</v>
      </c>
      <c r="N192" s="27">
        <v>33250</v>
      </c>
    </row>
    <row r="193" spans="10:14">
      <c r="J193">
        <v>25400</v>
      </c>
      <c r="K193" s="30">
        <v>33250</v>
      </c>
      <c r="M193" s="27">
        <v>25700</v>
      </c>
      <c r="N193" s="27">
        <v>77000</v>
      </c>
    </row>
    <row r="194" spans="10:14">
      <c r="J194">
        <v>25700</v>
      </c>
      <c r="K194" s="30">
        <v>77000</v>
      </c>
      <c r="M194" s="27">
        <v>25900</v>
      </c>
      <c r="N194" s="27">
        <v>50500</v>
      </c>
    </row>
    <row r="195" spans="10:14">
      <c r="J195">
        <v>25900</v>
      </c>
      <c r="K195" s="30">
        <v>50500</v>
      </c>
      <c r="M195" s="27">
        <v>26000</v>
      </c>
      <c r="N195" s="27">
        <v>90000</v>
      </c>
    </row>
    <row r="196" spans="10:14">
      <c r="J196">
        <v>26000</v>
      </c>
      <c r="K196" s="30">
        <v>90000</v>
      </c>
      <c r="M196" s="27">
        <v>26300</v>
      </c>
      <c r="N196" s="27">
        <v>96500</v>
      </c>
    </row>
    <row r="197" spans="10:14">
      <c r="J197">
        <v>26300</v>
      </c>
      <c r="K197" s="30">
        <v>96500</v>
      </c>
      <c r="M197" s="27">
        <v>26400</v>
      </c>
      <c r="N197" s="27">
        <v>88000</v>
      </c>
    </row>
    <row r="198" spans="10:14">
      <c r="J198">
        <v>26400</v>
      </c>
      <c r="K198" s="30">
        <v>88000</v>
      </c>
      <c r="M198" s="27">
        <v>26500</v>
      </c>
      <c r="N198" s="27">
        <v>41000</v>
      </c>
    </row>
    <row r="199" spans="10:14">
      <c r="J199">
        <v>26500</v>
      </c>
      <c r="K199" s="30">
        <v>41000</v>
      </c>
      <c r="M199" s="27">
        <v>26800</v>
      </c>
      <c r="N199" s="27">
        <v>61500</v>
      </c>
    </row>
    <row r="200" spans="10:14">
      <c r="J200">
        <v>26800</v>
      </c>
      <c r="K200" s="30">
        <v>61500</v>
      </c>
      <c r="M200" s="27">
        <v>27100</v>
      </c>
      <c r="N200" s="27">
        <v>74500</v>
      </c>
    </row>
    <row r="201" spans="10:14">
      <c r="J201">
        <v>27100</v>
      </c>
      <c r="K201" s="30">
        <v>74500</v>
      </c>
      <c r="M201" s="27">
        <v>27300</v>
      </c>
      <c r="N201" s="27">
        <v>34250</v>
      </c>
    </row>
    <row r="202" spans="10:14">
      <c r="J202">
        <v>27300</v>
      </c>
      <c r="K202" s="30">
        <v>34250</v>
      </c>
      <c r="M202" s="27">
        <v>27500</v>
      </c>
      <c r="N202" s="27">
        <v>3100</v>
      </c>
    </row>
    <row r="203" spans="10:14">
      <c r="J203">
        <v>27500</v>
      </c>
      <c r="K203" s="30">
        <v>3100</v>
      </c>
      <c r="M203" s="27">
        <v>27600</v>
      </c>
      <c r="N203" s="27">
        <v>13000</v>
      </c>
    </row>
    <row r="204" spans="10:14">
      <c r="J204">
        <v>27600</v>
      </c>
      <c r="K204" s="30">
        <v>13000</v>
      </c>
      <c r="M204" s="27">
        <v>27800</v>
      </c>
      <c r="N204" s="27">
        <v>97500</v>
      </c>
    </row>
    <row r="205" spans="10:14">
      <c r="J205">
        <v>27800</v>
      </c>
      <c r="K205" s="30">
        <v>97500</v>
      </c>
      <c r="M205" s="27">
        <v>28000</v>
      </c>
    </row>
    <row r="206" spans="10:14">
      <c r="J206">
        <v>28000</v>
      </c>
      <c r="K206" s="30"/>
      <c r="M206" s="27">
        <v>28100</v>
      </c>
      <c r="N206" s="27">
        <v>48000</v>
      </c>
    </row>
    <row r="207" spans="10:14">
      <c r="J207">
        <v>28100</v>
      </c>
      <c r="K207" s="30">
        <v>48000</v>
      </c>
      <c r="M207" s="27">
        <v>28200</v>
      </c>
    </row>
    <row r="208" spans="10:14">
      <c r="J208">
        <v>28200</v>
      </c>
      <c r="K208" s="30"/>
      <c r="M208" s="27">
        <v>28300</v>
      </c>
    </row>
    <row r="209" spans="10:14">
      <c r="J209">
        <v>28300</v>
      </c>
      <c r="K209" s="30"/>
      <c r="M209" s="27">
        <v>28400</v>
      </c>
      <c r="N209" s="27">
        <v>86500</v>
      </c>
    </row>
    <row r="210" spans="10:14">
      <c r="J210">
        <v>28400</v>
      </c>
      <c r="K210" s="30">
        <v>86500</v>
      </c>
      <c r="M210" s="27">
        <v>28500</v>
      </c>
      <c r="N210" s="27">
        <v>33000</v>
      </c>
    </row>
    <row r="211" spans="10:14">
      <c r="J211">
        <v>28500</v>
      </c>
      <c r="K211" s="30">
        <v>33000</v>
      </c>
      <c r="M211" s="27">
        <v>28600</v>
      </c>
      <c r="N211" s="27">
        <v>73500</v>
      </c>
    </row>
    <row r="212" spans="10:14">
      <c r="J212">
        <v>28600</v>
      </c>
      <c r="K212" s="30">
        <v>73500</v>
      </c>
      <c r="M212" s="27">
        <v>28700</v>
      </c>
    </row>
    <row r="213" spans="10:14">
      <c r="J213">
        <v>28700</v>
      </c>
      <c r="K213" s="30"/>
      <c r="M213" s="27">
        <v>28800</v>
      </c>
      <c r="N213" s="27">
        <v>39000</v>
      </c>
    </row>
    <row r="214" spans="10:14">
      <c r="J214">
        <v>28800</v>
      </c>
      <c r="K214" s="30">
        <v>39000</v>
      </c>
      <c r="M214" s="27">
        <v>28900</v>
      </c>
    </row>
    <row r="215" spans="10:14">
      <c r="J215">
        <v>28900</v>
      </c>
      <c r="K215" s="30"/>
      <c r="M215" s="27">
        <v>29000</v>
      </c>
      <c r="N215" s="27">
        <v>48000</v>
      </c>
    </row>
    <row r="216" spans="10:14">
      <c r="J216">
        <v>29000</v>
      </c>
      <c r="K216" s="30">
        <v>48000</v>
      </c>
      <c r="M216" s="27">
        <v>29100</v>
      </c>
    </row>
    <row r="217" spans="10:14">
      <c r="J217">
        <v>29100</v>
      </c>
      <c r="K217" s="30"/>
      <c r="M217" s="27">
        <v>29200</v>
      </c>
    </row>
    <row r="218" spans="10:14">
      <c r="J218">
        <v>29200</v>
      </c>
      <c r="K218" s="30"/>
      <c r="M218" s="27">
        <v>29300</v>
      </c>
    </row>
    <row r="219" spans="10:14">
      <c r="J219">
        <v>29300</v>
      </c>
      <c r="K219" s="30"/>
      <c r="M219" s="27">
        <v>29500</v>
      </c>
      <c r="N219" s="27">
        <v>38000</v>
      </c>
    </row>
    <row r="220" spans="10:14">
      <c r="J220">
        <v>29500</v>
      </c>
      <c r="K220" s="30">
        <v>38000</v>
      </c>
      <c r="M220" s="27">
        <v>29700</v>
      </c>
      <c r="N220" s="27">
        <v>26500</v>
      </c>
    </row>
    <row r="221" spans="10:14">
      <c r="J221">
        <v>29700</v>
      </c>
      <c r="K221" s="30">
        <v>26500</v>
      </c>
      <c r="M221" s="27">
        <v>29800</v>
      </c>
    </row>
    <row r="222" spans="10:14">
      <c r="J222">
        <v>29800</v>
      </c>
      <c r="K222" s="30"/>
      <c r="M222" s="27">
        <v>29900</v>
      </c>
    </row>
    <row r="223" spans="10:14">
      <c r="J223">
        <v>29900</v>
      </c>
      <c r="K223" s="30"/>
      <c r="M223" s="27">
        <v>30000</v>
      </c>
      <c r="N223" s="27">
        <v>81500</v>
      </c>
    </row>
    <row r="224" spans="10:14">
      <c r="J224">
        <v>30000</v>
      </c>
      <c r="K224" s="30">
        <v>81500</v>
      </c>
      <c r="M224" s="27">
        <v>165000</v>
      </c>
    </row>
    <row r="225" spans="10:14">
      <c r="J225">
        <v>165000</v>
      </c>
      <c r="K225" s="30"/>
      <c r="M225" s="27">
        <v>560000</v>
      </c>
      <c r="N225" s="27">
        <v>83500</v>
      </c>
    </row>
    <row r="226" spans="10:14">
      <c r="J226">
        <v>560000</v>
      </c>
      <c r="K226" s="30">
        <v>83500</v>
      </c>
      <c r="M226" s="27">
        <v>940000</v>
      </c>
      <c r="N226" s="27">
        <v>89000</v>
      </c>
    </row>
    <row r="227" spans="10:14">
      <c r="J227">
        <v>940000</v>
      </c>
      <c r="K227" s="30">
        <v>89000</v>
      </c>
      <c r="M227" s="27">
        <v>1240000</v>
      </c>
    </row>
    <row r="228" spans="10:14">
      <c r="J228">
        <v>1240000</v>
      </c>
      <c r="K228" s="30"/>
      <c r="M228" s="27">
        <v>1580000</v>
      </c>
    </row>
    <row r="229" spans="10:14">
      <c r="J229">
        <v>1580000</v>
      </c>
      <c r="K229" s="30"/>
      <c r="M229" s="27">
        <v>2130000</v>
      </c>
    </row>
    <row r="230" spans="10:14">
      <c r="J230">
        <v>2130000</v>
      </c>
      <c r="K230" s="30"/>
      <c r="M230" s="27">
        <v>2310000</v>
      </c>
    </row>
    <row r="231" spans="10:14">
      <c r="J231">
        <v>2310000</v>
      </c>
      <c r="K231" s="30"/>
      <c r="M231" s="27">
        <v>2630000</v>
      </c>
    </row>
    <row r="232" spans="10:14">
      <c r="J232">
        <v>2630000</v>
      </c>
      <c r="K232" s="30"/>
      <c r="M232" s="27">
        <v>2970000</v>
      </c>
    </row>
    <row r="233" spans="10:14">
      <c r="J233">
        <v>2970000</v>
      </c>
      <c r="K233" s="30"/>
    </row>
    <row r="234" spans="10:14">
      <c r="J234" t="s">
        <v>1270</v>
      </c>
      <c r="K234" s="30">
        <v>49077.543859649122</v>
      </c>
    </row>
    <row r="235" spans="10:14">
      <c r="J235"/>
      <c r="K235"/>
    </row>
  </sheetData>
  <mergeCells count="1">
    <mergeCell ref="A8:B8"/>
  </mergeCells>
  <pageMargins left="0.7" right="0.7" top="0.75" bottom="0.75" header="0.3" footer="0.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2026-09-10T20:38:36Z</dcterms:created>
  <dcterms:modified xsi:type="dcterms:W3CDTF">2026-09-13T01:10:07Z</dcterms:modified>
  <cp:category/>
  <cp:contentStatus/>
</cp:coreProperties>
</file>