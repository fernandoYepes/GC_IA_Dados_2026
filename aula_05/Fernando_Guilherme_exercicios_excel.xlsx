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97BC8DE6-D9BF-4984-9FD5-17074A541730}" xr6:coauthVersionLast="47" xr6:coauthVersionMax="47" xr10:uidLastSave="{00000000-0000-0000-0000-000000000000}"/>
  <bookViews>
    <workbookView xWindow="240" yWindow="105" windowWidth="14805" windowHeight="8010" firstSheet="4" activeTab="2" xr2:uid="{00000000-000D-0000-FFFF-FFFF00000000}"/>
  </bookViews>
  <sheets>
    <sheet name="Ex.excel01" sheetId="1" r:id="rId1"/>
    <sheet name="Ex.excel02" sheetId="2" r:id="rId2"/>
    <sheet name="Ex.excel03" sheetId="3" r:id="rId3"/>
    <sheet name="Ex.excel04" sheetId="4" r:id="rId4"/>
    <sheet name="Registro_Limpeza" sheetId="5" r:id="rId5"/>
  </sheets>
  <definedNames>
    <definedName name="_xlnm._FilterDatabase" localSheetId="0" hidden="1">Ex.excel01!$A$2:$E$2</definedName>
    <definedName name="_xlnm._FilterDatabase" localSheetId="1" hidden="1">Ex.excel02!$A$2:$D$2</definedName>
    <definedName name="_xlnm._FilterDatabase" localSheetId="2" hidden="1">Ex.excel03!$A$3:$G$3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5" i="3"/>
  <c r="G5" i="3" s="1"/>
  <c r="F6" i="3"/>
  <c r="G6" i="3" s="1"/>
  <c r="F7" i="3"/>
  <c r="G7" i="3" s="1"/>
  <c r="F8" i="3"/>
  <c r="G8" i="3" s="1"/>
  <c r="F4" i="3"/>
  <c r="G4" i="3" s="1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<sst xmlns="http://schemas.openxmlformats.org/spreadsheetml/2006/main" count="121" uniqueCount="96">
  <si>
    <t>Tabela de Produtos da Cafeteria</t>
  </si>
  <si>
    <t>ID_Produto</t>
  </si>
  <si>
    <t>Tipo_de_Cafe</t>
  </si>
  <si>
    <t>Tamanho</t>
  </si>
  <si>
    <t>Valor_Unitario</t>
  </si>
  <si>
    <t>Quantidade</t>
  </si>
  <si>
    <t>2</t>
  </si>
  <si>
    <t>Ara</t>
  </si>
  <si>
    <t>G</t>
  </si>
  <si>
    <t>20</t>
  </si>
  <si>
    <t>Lib</t>
  </si>
  <si>
    <t>M</t>
  </si>
  <si>
    <t>Rob</t>
  </si>
  <si>
    <t>P</t>
  </si>
  <si>
    <t>Descrição do que fiz</t>
  </si>
  <si>
    <t>Montei a tabela apresentada com as infos da Cafeteria</t>
  </si>
  <si>
    <t>Em ``Valor_Unitario``, botei em Reais</t>
  </si>
  <si>
    <t>Falidos e Quebrados LTDA.</t>
  </si>
  <si>
    <t xml:space="preserve">Funcionários </t>
  </si>
  <si>
    <t>Produtos</t>
  </si>
  <si>
    <t>Vendas</t>
  </si>
  <si>
    <t>Resultado</t>
  </si>
  <si>
    <t>Abrilina</t>
  </si>
  <si>
    <t>Mouse</t>
  </si>
  <si>
    <t>Cheropita</t>
  </si>
  <si>
    <t>Teclado</t>
  </si>
  <si>
    <t>Aldegunda</t>
  </si>
  <si>
    <t>Monitor</t>
  </si>
  <si>
    <t>Arquibaldo</t>
  </si>
  <si>
    <t>Gabinete</t>
  </si>
  <si>
    <t>Clarisbadeu</t>
  </si>
  <si>
    <t>Disquete</t>
  </si>
  <si>
    <t>Fredolino</t>
  </si>
  <si>
    <t>Impressora</t>
  </si>
  <si>
    <t>Utilizei a função =SE() aninhada na coluna Resultado para classificar o desempenho das vendas como "Ótimo" (&gt;5), "Regular" (=5) ou "Péssimo" (&lt;5).</t>
  </si>
  <si>
    <t>Notas Escolares</t>
  </si>
  <si>
    <t>RA</t>
  </si>
  <si>
    <t>Nome do Aluno</t>
  </si>
  <si>
    <t>Nota 1 Trimestre</t>
  </si>
  <si>
    <t>Nota 2 Trimestre</t>
  </si>
  <si>
    <t>Nota 3 Trimestre</t>
  </si>
  <si>
    <t>Media Final</t>
  </si>
  <si>
    <t>Astro</t>
  </si>
  <si>
    <t>Celeste</t>
  </si>
  <si>
    <t>Elvira</t>
  </si>
  <si>
    <t>Homer</t>
  </si>
  <si>
    <t>Chevrolet da Silva</t>
  </si>
  <si>
    <t>Calculei a média dos três trimestres usando =MÉDIA()</t>
  </si>
  <si>
    <t>Apliquei a função =SE() para retornar "Aprovado" (média ≥ 6) ou "Reprovado" (&lt; 6), destacando os resultados com formatação condicional.</t>
  </si>
  <si>
    <t>Recrutamento para vaga de emprego</t>
  </si>
  <si>
    <t>Nome</t>
  </si>
  <si>
    <t>Idade</t>
  </si>
  <si>
    <t>Ensino Médio</t>
  </si>
  <si>
    <t>Curso Técnico</t>
  </si>
  <si>
    <t>Anos de experiência na área</t>
  </si>
  <si>
    <t>Situação</t>
  </si>
  <si>
    <t>Alfa Romeu Julia</t>
  </si>
  <si>
    <t>Não</t>
  </si>
  <si>
    <t>Sim</t>
  </si>
  <si>
    <t>Fusculaudia de Oliveira</t>
  </si>
  <si>
    <t>Unotavio dos Santos</t>
  </si>
  <si>
    <t>Nissan Silvia</t>
  </si>
  <si>
    <t>Ferrari Enzo</t>
  </si>
  <si>
    <t>Requisitos para ser contratado</t>
  </si>
  <si>
    <t>Ter idade maior ou igual a 18 anos</t>
  </si>
  <si>
    <t>Combinei as funções =SE() e =E() na coluna Situação para checar automaticamente se o candidato cumpre todos os requisitos da vaga, classificando-o como "Apto" ou "Não apto".</t>
  </si>
  <si>
    <t>Ter ensino médio completo</t>
  </si>
  <si>
    <t>Ter curso de vendedor</t>
  </si>
  <si>
    <t>Ter no minimo 3 anos de experiencia na área</t>
  </si>
  <si>
    <t>Ex.excel01</t>
  </si>
  <si>
    <t>Ex.excel02</t>
  </si>
  <si>
    <t>Ex.excel03</t>
  </si>
  <si>
    <t>Ex.excel04</t>
  </si>
  <si>
    <t>Problema encontrado</t>
  </si>
  <si>
    <t>Coluna</t>
  </si>
  <si>
    <t>O que foi feito</t>
  </si>
  <si>
    <t>Por quê</t>
  </si>
  <si>
    <t>Células numéricas com formato padrão 'Geral'</t>
  </si>
  <si>
    <t>Vendas, Quantidade, Idade, Notas, Experiência</t>
  </si>
  <si>
    <t>Alterado o formato de 'Geral' para 'Número'</t>
  </si>
  <si>
    <t>Garantir consistência estrutural, alinhamento e precisão nas operações matemáticas</t>
  </si>
  <si>
    <t>Valores monetários sem formatação de moeda</t>
  </si>
  <si>
    <t>Formatado para Moeda no padrão Real brasileiro (R$)</t>
  </si>
  <si>
    <t>Atender aos requisitos de apresentação contábil e evitar erros de interpretação</t>
  </si>
  <si>
    <t>Espaços extras no início e fim de cadeias de texto</t>
  </si>
  <si>
    <t>Funcionário, Aluno, Nome, Produto</t>
  </si>
  <si>
    <t>Aplicada a função =ARRUMAR()</t>
  </si>
  <si>
    <t>Evitar erros de correspondência exata em filtros e comparações lógicas</t>
  </si>
  <si>
    <t>Inconsistência de maiúsculas/minúsculas nos cadastros</t>
  </si>
  <si>
    <t>Tipo_de_Cafe, Situação, Tamanho</t>
  </si>
  <si>
    <t>Padronizado com =PRI.MAIUSCULA() / =MAIÚSCULA()</t>
  </si>
  <si>
    <t>Manter a integridade visual e a padronização dos dados na planilha</t>
  </si>
  <si>
    <t>Linhas repetidas ou dados redundantes na base</t>
  </si>
  <si>
    <t>Registros gerais / ID</t>
  </si>
  <si>
    <t>Utilizada a ferramenta 'Remover Duplicadas'</t>
  </si>
  <si>
    <t>Assegurar que cada entidade seja contabilizada apenas uma 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</si>
</sst>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.00"/>
  </numFmts>
  <fonts count="10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3F3F3F"/>
      <name val="Calibri"/>
      <scheme val="minor"/>
    </font>
    <font>
      <sz val="11"/>
      <color theme="0"/>
      <name val="Calibri"/>
      <scheme val="minor"/>
    </font>
    <font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scheme val="minor"/>
    </font>
    <font>
      <b/>
      <sz val="12"/>
      <color theme="0"/>
      <name val="Calibri"/>
      <scheme val="minor"/>
    </font>
    <font>
      <b/>
      <sz val="16"/>
      <color rgb="FFFFFFFF"/>
      <name val="Calibri"/>
      <scheme val="minor"/>
    </font>
    <font>
      <sz val="1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2B5A7D"/>
        <bgColor indexed="64"/>
      </patternFill>
    </fill>
    <fill>
      <patternFill patternType="solid">
        <fgColor rgb="FF383838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326CBD"/>
        <bgColor indexed="64"/>
      </patternFill>
    </fill>
    <fill>
      <patternFill patternType="solid">
        <fgColor rgb="FFE3823F"/>
        <bgColor indexed="64"/>
      </patternFill>
    </fill>
    <fill>
      <patternFill patternType="solid">
        <fgColor rgb="FF161C5B"/>
        <bgColor indexed="64"/>
      </patternFill>
    </fill>
    <fill>
      <patternFill patternType="solid">
        <fgColor rgb="FFDD7D47"/>
        <bgColor indexed="64"/>
      </patternFill>
    </fill>
    <fill>
      <patternFill patternType="solid">
        <fgColor rgb="FF252525"/>
        <bgColor indexed="64"/>
      </patternFill>
    </fill>
    <fill>
      <patternFill patternType="solid">
        <fgColor rgb="FF4FA43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2" fillId="3" borderId="1" applyNumberFormat="0" applyAlignment="0" applyProtection="0"/>
  </cellStyleXfs>
  <cellXfs count="8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4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6" borderId="8" xfId="0" applyFont="1" applyFill="1" applyBorder="1" applyAlignment="1">
      <alignment horizontal="left"/>
    </xf>
    <xf numFmtId="0" fontId="0" fillId="0" borderId="8" xfId="0" applyFont="1" applyBorder="1" applyAlignment="1">
      <alignment horizontal="left"/>
    </xf>
    <xf numFmtId="0" fontId="0" fillId="6" borderId="3" xfId="0" applyFont="1" applyFill="1" applyBorder="1" applyAlignment="1">
      <alignment horizontal="left"/>
    </xf>
    <xf numFmtId="0" fontId="5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7" fillId="10" borderId="10" xfId="1" applyFont="1" applyFill="1" applyBorder="1" applyAlignment="1"/>
    <xf numFmtId="0" fontId="7" fillId="10" borderId="11" xfId="1" applyFont="1" applyFill="1" applyBorder="1" applyAlignment="1"/>
    <xf numFmtId="0" fontId="7" fillId="10" borderId="9" xfId="1" applyFont="1" applyFill="1" applyBorder="1" applyAlignment="1"/>
    <xf numFmtId="0" fontId="2" fillId="0" borderId="2" xfId="1" applyFont="1" applyFill="1" applyBorder="1" applyAlignment="1">
      <alignment horizontal="left"/>
    </xf>
    <xf numFmtId="164" fontId="2" fillId="0" borderId="2" xfId="1" applyNumberFormat="1" applyFont="1" applyFill="1" applyBorder="1" applyAlignment="1">
      <alignment horizontal="left"/>
    </xf>
    <xf numFmtId="0" fontId="2" fillId="0" borderId="2" xfId="1" applyFont="1" applyFill="1" applyBorder="1" applyAlignment="1">
      <alignment horizontal="right" wrapText="1"/>
    </xf>
    <xf numFmtId="164" fontId="2" fillId="0" borderId="5" xfId="1" applyNumberFormat="1" applyFont="1" applyFill="1" applyBorder="1" applyAlignment="1">
      <alignment horizontal="left"/>
    </xf>
    <xf numFmtId="0" fontId="0" fillId="0" borderId="0" xfId="0" applyFont="1" applyBorder="1"/>
    <xf numFmtId="0" fontId="2" fillId="0" borderId="12" xfId="1" applyFont="1" applyFill="1" applyBorder="1" applyAlignment="1">
      <alignment horizontal="left"/>
    </xf>
    <xf numFmtId="164" fontId="2" fillId="0" borderId="12" xfId="1" applyNumberFormat="1" applyFont="1" applyFill="1" applyBorder="1" applyAlignment="1">
      <alignment horizontal="left"/>
    </xf>
    <xf numFmtId="0" fontId="2" fillId="0" borderId="12" xfId="1" applyFont="1" applyFill="1" applyBorder="1" applyAlignment="1">
      <alignment horizontal="right" wrapText="1"/>
    </xf>
    <xf numFmtId="0" fontId="5" fillId="12" borderId="0" xfId="0" applyFont="1" applyFill="1"/>
    <xf numFmtId="0" fontId="0" fillId="0" borderId="0" xfId="0" applyAlignment="1">
      <alignment horizontal="left"/>
    </xf>
    <xf numFmtId="0" fontId="0" fillId="0" borderId="0" xfId="0" applyNumberFormat="1" applyBorder="1" applyAlignment="1">
      <alignment horizontal="left"/>
    </xf>
    <xf numFmtId="0" fontId="0" fillId="0" borderId="0" xfId="0" applyBorder="1" applyAlignment="1"/>
    <xf numFmtId="0" fontId="0" fillId="0" borderId="0" xfId="0" applyAlignment="1"/>
    <xf numFmtId="0" fontId="0" fillId="0" borderId="0" xfId="0" applyNumberFormat="1" applyFill="1" applyBorder="1" applyAlignment="1"/>
    <xf numFmtId="0" fontId="0" fillId="0" borderId="0" xfId="0" applyNumberFormat="1" applyAlignment="1">
      <alignment horizontal="center"/>
    </xf>
    <xf numFmtId="1" fontId="2" fillId="0" borderId="13" xfId="1" applyNumberFormat="1" applyFont="1" applyFill="1" applyBorder="1" applyAlignment="1">
      <alignment horizontal="left"/>
    </xf>
    <xf numFmtId="1" fontId="2" fillId="0" borderId="6" xfId="1" applyNumberFormat="1" applyFont="1" applyFill="1" applyBorder="1" applyAlignment="1">
      <alignment horizontal="left"/>
    </xf>
    <xf numFmtId="1" fontId="2" fillId="14" borderId="2" xfId="1" applyNumberFormat="1" applyFont="1" applyFill="1" applyBorder="1" applyAlignment="1">
      <alignment horizontal="left"/>
    </xf>
    <xf numFmtId="1" fontId="2" fillId="0" borderId="2" xfId="1" applyNumberFormat="1" applyFont="1" applyFill="1" applyBorder="1" applyAlignment="1">
      <alignment horizontal="left"/>
    </xf>
    <xf numFmtId="1" fontId="2" fillId="0" borderId="12" xfId="1" applyNumberFormat="1" applyFont="1" applyFill="1" applyBorder="1" applyAlignment="1">
      <alignment horizontal="left"/>
    </xf>
    <xf numFmtId="1" fontId="2" fillId="0" borderId="3" xfId="1" applyNumberFormat="1" applyFont="1" applyFill="1" applyBorder="1" applyAlignment="1">
      <alignment horizontal="left"/>
    </xf>
    <xf numFmtId="1" fontId="2" fillId="14" borderId="12" xfId="1" applyNumberFormat="1" applyFont="1" applyFill="1" applyBorder="1" applyAlignment="1">
      <alignment horizontal="left"/>
    </xf>
    <xf numFmtId="1" fontId="0" fillId="0" borderId="0" xfId="0" applyNumberFormat="1" applyFont="1" applyAlignment="1">
      <alignment horizontal="center"/>
    </xf>
    <xf numFmtId="1" fontId="0" fillId="0" borderId="7" xfId="0" applyNumberFormat="1" applyFont="1" applyBorder="1" applyAlignment="1">
      <alignment horizontal="right"/>
    </xf>
    <xf numFmtId="1" fontId="0" fillId="6" borderId="7" xfId="0" applyNumberFormat="1" applyFont="1" applyFill="1" applyBorder="1" applyAlignment="1">
      <alignment horizontal="right"/>
    </xf>
    <xf numFmtId="1" fontId="0" fillId="6" borderId="2" xfId="0" applyNumberFormat="1" applyFont="1" applyFill="1" applyBorder="1" applyAlignment="1">
      <alignment horizontal="right"/>
    </xf>
    <xf numFmtId="1" fontId="0" fillId="0" borderId="8" xfId="0" applyNumberFormat="1" applyFont="1" applyBorder="1" applyAlignment="1">
      <alignment horizontal="right"/>
    </xf>
    <xf numFmtId="1" fontId="0" fillId="6" borderId="8" xfId="0" applyNumberFormat="1" applyFont="1" applyFill="1" applyBorder="1" applyAlignment="1">
      <alignment horizontal="right"/>
    </xf>
    <xf numFmtId="1" fontId="0" fillId="6" borderId="3" xfId="0" applyNumberFormat="1" applyFont="1" applyFill="1" applyBorder="1" applyAlignment="1">
      <alignment horizontal="right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14" borderId="0" xfId="0" applyFill="1" applyAlignment="1">
      <alignment vertical="center" wrapText="1"/>
    </xf>
    <xf numFmtId="0" fontId="0" fillId="14" borderId="0" xfId="0" applyFill="1" applyAlignment="1">
      <alignment horizontal="left" vertical="center" wrapText="1"/>
    </xf>
    <xf numFmtId="165" fontId="5" fillId="4" borderId="0" xfId="0" applyNumberFormat="1" applyFont="1" applyFill="1" applyAlignment="1">
      <alignment horizontal="center"/>
    </xf>
    <xf numFmtId="165" fontId="0" fillId="0" borderId="8" xfId="0" applyNumberFormat="1" applyFont="1" applyBorder="1" applyAlignment="1">
      <alignment horizontal="right"/>
    </xf>
    <xf numFmtId="165" fontId="0" fillId="6" borderId="8" xfId="0" applyNumberFormat="1" applyFont="1" applyFill="1" applyBorder="1" applyAlignment="1">
      <alignment horizontal="right"/>
    </xf>
    <xf numFmtId="165" fontId="0" fillId="6" borderId="3" xfId="0" applyNumberFormat="1" applyFont="1" applyFill="1" applyBorder="1" applyAlignment="1">
      <alignment horizontal="right"/>
    </xf>
    <xf numFmtId="165" fontId="0" fillId="0" borderId="0" xfId="0" applyNumberFormat="1"/>
    <xf numFmtId="165" fontId="0" fillId="0" borderId="0" xfId="0" applyNumberFormat="1" applyBorder="1" applyAlignment="1"/>
    <xf numFmtId="0" fontId="9" fillId="0" borderId="0" xfId="0" applyFont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0" fillId="13" borderId="3" xfId="0" applyNumberFormat="1" applyFill="1" applyBorder="1" applyAlignment="1">
      <alignment horizontal="left"/>
    </xf>
    <xf numFmtId="0" fontId="0" fillId="13" borderId="4" xfId="0" applyNumberFormat="1" applyFill="1" applyBorder="1" applyAlignment="1">
      <alignment horizontal="left"/>
    </xf>
    <xf numFmtId="0" fontId="0" fillId="13" borderId="5" xfId="0" applyNumberFormat="1" applyFill="1" applyBorder="1" applyAlignment="1">
      <alignment horizontal="left"/>
    </xf>
    <xf numFmtId="0" fontId="0" fillId="13" borderId="14" xfId="0" applyNumberFormat="1" applyFill="1" applyBorder="1" applyAlignment="1">
      <alignment horizontal="left"/>
    </xf>
    <xf numFmtId="0" fontId="0" fillId="13" borderId="15" xfId="0" applyNumberFormat="1" applyFill="1" applyBorder="1" applyAlignment="1">
      <alignment horizontal="left"/>
    </xf>
    <xf numFmtId="0" fontId="0" fillId="13" borderId="16" xfId="0" applyNumberFormat="1" applyFill="1" applyBorder="1" applyAlignment="1">
      <alignment horizontal="left"/>
    </xf>
    <xf numFmtId="0" fontId="1" fillId="5" borderId="17" xfId="0" applyFont="1" applyFill="1" applyBorder="1" applyAlignment="1">
      <alignment horizontal="center"/>
    </xf>
    <xf numFmtId="0" fontId="0" fillId="14" borderId="3" xfId="0" applyNumberFormat="1" applyFill="1" applyBorder="1" applyAlignment="1">
      <alignment horizontal="left"/>
    </xf>
    <xf numFmtId="0" fontId="0" fillId="14" borderId="4" xfId="0" applyNumberFormat="1" applyFill="1" applyBorder="1" applyAlignment="1">
      <alignment horizontal="left"/>
    </xf>
    <xf numFmtId="0" fontId="0" fillId="14" borderId="5" xfId="0" applyNumberFormat="1" applyFill="1" applyBorder="1" applyAlignment="1">
      <alignment horizontal="left"/>
    </xf>
    <xf numFmtId="0" fontId="0" fillId="14" borderId="14" xfId="0" applyNumberFormat="1" applyFill="1" applyBorder="1" applyAlignment="1">
      <alignment horizontal="left"/>
    </xf>
    <xf numFmtId="0" fontId="0" fillId="14" borderId="15" xfId="0" applyNumberFormat="1" applyFill="1" applyBorder="1" applyAlignment="1">
      <alignment horizontal="left"/>
    </xf>
    <xf numFmtId="0" fontId="0" fillId="14" borderId="16" xfId="0" applyNumberFormat="1" applyFill="1" applyBorder="1" applyAlignment="1">
      <alignment horizontal="left"/>
    </xf>
    <xf numFmtId="0" fontId="4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8" fillId="9" borderId="9" xfId="1" applyFont="1" applyFill="1" applyBorder="1" applyAlignment="1">
      <alignment horizontal="center" vertical="center" wrapText="1"/>
    </xf>
    <xf numFmtId="0" fontId="6" fillId="9" borderId="0" xfId="1" applyFont="1" applyFill="1" applyBorder="1" applyAlignment="1">
      <alignment horizontal="center" vertical="center" wrapText="1"/>
    </xf>
    <xf numFmtId="0" fontId="6" fillId="9" borderId="9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14" borderId="3" xfId="0" applyFill="1" applyBorder="1" applyAlignment="1">
      <alignment horizontal="left"/>
    </xf>
    <xf numFmtId="0" fontId="0" fillId="14" borderId="4" xfId="0" applyFill="1" applyBorder="1" applyAlignment="1">
      <alignment horizontal="left"/>
    </xf>
    <xf numFmtId="0" fontId="0" fillId="14" borderId="5" xfId="0" applyFill="1" applyBorder="1" applyAlignment="1">
      <alignment horizontal="left"/>
    </xf>
    <xf numFmtId="0" fontId="1" fillId="11" borderId="0" xfId="0" applyFont="1" applyFill="1" applyAlignment="1">
      <alignment horizontal="center"/>
    </xf>
    <xf numFmtId="0" fontId="0" fillId="0" borderId="0" xfId="0" applyBorder="1"/>
    <xf numFmtId="0" fontId="0" fillId="14" borderId="18" xfId="0" applyNumberFormat="1" applyFill="1" applyBorder="1" applyAlignment="1">
      <alignment horizontal="left"/>
    </xf>
    <xf numFmtId="0" fontId="0" fillId="13" borderId="19" xfId="0" applyNumberFormat="1" applyFill="1" applyBorder="1" applyAlignment="1">
      <alignment horizontal="left"/>
    </xf>
    <xf numFmtId="0" fontId="0" fillId="13" borderId="18" xfId="0" applyNumberFormat="1" applyFill="1" applyBorder="1" applyAlignment="1">
      <alignment horizontal="left"/>
    </xf>
    <xf numFmtId="0" fontId="1" fillId="5" borderId="20" xfId="0" applyFont="1" applyFill="1" applyBorder="1" applyAlignment="1">
      <alignment horizontal="center"/>
    </xf>
  </cellXfs>
  <cellStyles count="2">
    <cellStyle name="Normal" xfId="0" builtinId="0"/>
    <cellStyle name="Output" xfId="1" builtinId="21"/>
  </cellStyles>
  <dxfs count="38">
    <dxf>
      <alignment horizontal="left"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wrapText="1"/>
    </dxf>
    <dxf>
      <numFmt numFmtId="0" formatCode="General"/>
      <alignment horizontal="left"/>
    </dxf>
    <dxf>
      <numFmt numFmtId="1" formatCode="0"/>
      <alignment horizontal="center"/>
    </dxf>
    <dxf>
      <numFmt numFmtId="0" formatCode="General"/>
      <alignment horizontal="center"/>
    </dxf>
    <dxf>
      <alignment horizontal="center"/>
    </dxf>
    <dxf>
      <numFmt numFmtId="1" formatCode="0"/>
      <alignment horizontal="center"/>
    </dxf>
    <dxf>
      <alignment horizontal="left"/>
    </dxf>
    <dxf>
      <alignment horizontal="center"/>
    </dxf>
    <dxf>
      <font>
        <color theme="0"/>
      </font>
      <fill>
        <patternFill patternType="solid">
          <fgColor indexed="64"/>
          <bgColor rgb="FF4FA438"/>
        </patternFill>
      </fill>
    </dxf>
    <dxf>
      <font>
        <color theme="9" tint="-0.249977111117893"/>
      </font>
    </dxf>
    <dxf>
      <font>
        <color rgb="FF9C0006"/>
      </font>
    </dxf>
    <dxf>
      <font>
        <b/>
      </font>
      <fill>
        <patternFill patternType="none"/>
      </fill>
      <alignment horizontal="righ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numFmt numFmtId="164" formatCode="0.0"/>
      <fill>
        <patternFill patternType="none"/>
      </fill>
      <alignment horizontal="left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numFmt numFmtId="1" formatCode="0"/>
      <fill>
        <patternFill patternType="none"/>
      </fill>
      <alignment horizontal="left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numFmt numFmtId="1" formatCode="0"/>
      <fill>
        <patternFill patternType="none"/>
      </fill>
      <alignment horizontal="left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numFmt numFmtId="1" formatCode="0"/>
      <fill>
        <patternFill patternType="none"/>
      </fill>
      <alignment horizontal="left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fill>
        <patternFill patternType="none"/>
      </fill>
      <alignment horizontal="left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numFmt numFmtId="1" formatCode="0"/>
      <fill>
        <patternFill patternType="none"/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3F3F3F"/>
        </top>
      </border>
    </dxf>
    <dxf>
      <border outline="0">
        <bottom style="thin">
          <color rgb="FF3F3F3F"/>
        </bottom>
      </border>
    </dxf>
    <dxf>
      <border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</font>
      <fill>
        <patternFill patternType="none"/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DD7D47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/>
        <bottom/>
      </border>
    </dxf>
    <dxf>
      <font>
        <color rgb="FF006100"/>
      </font>
      <fill>
        <patternFill patternType="solid">
          <bgColor theme="0"/>
        </patternFill>
      </fill>
    </dxf>
    <dxf>
      <font>
        <color rgb="FF006100"/>
      </font>
      <fill>
        <patternFill patternType="solid">
          <bgColor theme="0"/>
        </patternFill>
      </fill>
    </dxf>
    <dxf>
      <font>
        <color rgb="FF9C0006"/>
      </font>
    </dxf>
    <dxf>
      <font>
        <color rgb="FF9C0006"/>
      </font>
    </dxf>
    <dxf>
      <font>
        <color theme="9" tint="-0.249977111117893"/>
      </font>
      <fill>
        <patternFill patternType="solid">
          <bgColor theme="0"/>
        </patternFill>
      </fill>
    </dxf>
    <dxf>
      <font>
        <color theme="1"/>
      </font>
      <alignment horizontal="center" vertical="bottom" textRotation="0" wrapText="0" indent="0" justifyLastLine="0" shrinkToFit="0" readingOrder="0"/>
    </dxf>
    <dxf>
      <font>
        <color theme="1"/>
      </font>
      <numFmt numFmtId="1" formatCode="0"/>
      <alignment horizontal="center" vertical="bottom" textRotation="0" wrapText="0" indent="0" justifyLastLine="0" shrinkToFit="0" readingOrder="0"/>
    </dxf>
    <dxf>
      <font>
        <color theme="1"/>
      </font>
      <alignment horizontal="center" vertical="bottom" textRotation="0" wrapText="0" indent="0" justifyLastLine="0" shrinkToFit="0" readingOrder="0"/>
    </dxf>
    <dxf>
      <font>
        <color theme="1"/>
      </font>
      <alignment horizontal="center" vertical="bottom" textRotation="0" wrapText="0" indent="0" justifyLastLine="0" shrinkToFit="0" readingOrder="0"/>
    </dxf>
    <dxf>
      <font>
        <color theme="1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E3823F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E0E0E0"/>
      <color rgb="FFD9D9D9"/>
      <color rgb="FFFFFFFF"/>
      <color rgb="FF383838"/>
      <color rgb="FF252525"/>
      <color rgb="FF4FA438"/>
      <color rgb="FFDD7D47"/>
      <color rgb="FF161C5B"/>
      <color rgb="FFE3823F"/>
      <color rgb="FF326C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79156A-EB45-4E7B-B929-6B957EEC8481}" name="Table9" displayName="Table9" ref="A2:D8" totalsRowShown="0" headerRowDxfId="37" dataDxfId="36">
  <autoFilter ref="A2:D8" xr:uid="{7F79156A-EB45-4E7B-B929-6B957EEC8481}"/>
  <tableColumns count="4">
    <tableColumn id="1" xr3:uid="{726F7905-027E-4DEA-9818-BAC2B13531E1}" name="Funcionários " dataDxfId="35"/>
    <tableColumn id="2" xr3:uid="{5A9E82D4-ADF6-4E0F-8029-DBCAF31002AB}" name="Produtos" dataDxfId="34"/>
    <tableColumn id="3" xr3:uid="{AF84AF68-307C-473C-89B9-B94448BCA207}" name="Vendas" dataDxfId="33"/>
    <tableColumn id="4" xr3:uid="{A5655C9D-A92F-4630-AD94-FE34A6EA417D}" name="Resultado" dataDxfId="32">
      <calculatedColumnFormula>IF(C3&gt;5,"Otimo", IF(C3=5, "Regular", "Pessimo"))</calculatedColumnFormula>
    </tableColumn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C44B63-A09C-42E1-92E6-BF39597999A4}" name="Table10" displayName="Table10" ref="A3:G8" totalsRowShown="0" headerRowDxfId="26" dataDxfId="25" headerRowBorderDxfId="23" tableBorderDxfId="24" totalsRowBorderDxfId="22" headerRowCellStyle="Output" dataCellStyle="Output">
  <autoFilter ref="A3:G8" xr:uid="{C5C44B63-A09C-42E1-92E6-BF39597999A4}"/>
  <tableColumns count="7">
    <tableColumn id="1" xr3:uid="{8D817969-1122-4D63-B02F-FE5143D00A9E}" name="RA" dataDxfId="21" dataCellStyle="Output"/>
    <tableColumn id="2" xr3:uid="{26B2E9FF-9AC8-4226-B5C7-4FD830C458ED}" name="Nome do Aluno" dataDxfId="20" dataCellStyle="Output"/>
    <tableColumn id="3" xr3:uid="{CAF486CE-92AD-4293-A3FA-7129678C1296}" name="Nota 1 Trimestre" dataDxfId="19" dataCellStyle="Output"/>
    <tableColumn id="4" xr3:uid="{BD4AEEDC-0BAE-469D-9C9F-FBB8EF92A2E0}" name="Nota 2 Trimestre" dataDxfId="18" dataCellStyle="Output"/>
    <tableColumn id="5" xr3:uid="{F13A2DF8-2256-4425-8524-B83EE8C0772B}" name="Nota 3 Trimestre" dataDxfId="17" dataCellStyle="Output"/>
    <tableColumn id="6" xr3:uid="{D8137A67-6620-4EE7-A855-F5A11F156C85}" name="Media Final" dataDxfId="16">
      <calculatedColumnFormula>AVERAGE(C4:E4)</calculatedColumnFormula>
    </tableColumn>
    <tableColumn id="7" xr3:uid="{7943AD05-3EBE-4776-9141-73962C457F0A}" name="Resultado" dataDxfId="15" dataCellStyle="Output">
      <calculatedColumnFormula>IF(F4&gt;6, "Aprovado", "Reprovado")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90DA8B-9036-4DD1-A309-D1D4F3D6AE3D}" name="Table3" displayName="Table3" ref="A2:F7" totalsRowShown="0" headerRowDxfId="12" dataDxfId="11">
  <autoFilter ref="A2:F7" xr:uid="{3490DA8B-9036-4DD1-A309-D1D4F3D6AE3D}"/>
  <tableColumns count="6">
    <tableColumn id="1" xr3:uid="{0D2FA04A-9FDA-4FA9-B6E0-CD91226D1F90}" name="Nome" dataDxfId="10"/>
    <tableColumn id="2" xr3:uid="{EE3B7A14-3ACF-49C2-8F4A-54722ECD4749}" name="Idade" dataDxfId="9"/>
    <tableColumn id="3" xr3:uid="{B308BE9A-5A1D-4324-89C5-A21DF2D44FDB}" name="Ensino Médio" dataDxfId="8"/>
    <tableColumn id="4" xr3:uid="{D968EAFB-B42E-40CC-A2CE-2BDF02284B01}" name="Curso Técnico" dataDxfId="7"/>
    <tableColumn id="5" xr3:uid="{CFE90484-4437-44B3-915F-116182AF89E2}" name="Anos de experiência na área" dataDxfId="6"/>
    <tableColumn id="6" xr3:uid="{660FFEFB-D2F0-4BF4-AF80-2D150B4F7C94}" name="Situação" dataDxfId="5">
      <calculatedColumnFormula>IF(AND(B3&gt;=18, OR(C3="Sim", D3="Sim"), E3&gt;=3), "Apto", "Não apto")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B1E007-9DC4-4734-B063-A51D3D738A37}" name="Table1" displayName="Table1" ref="A33:D38" insertRowShift="1" totalsRowShown="0" dataDxfId="4">
  <autoFilter ref="A33:D38" xr:uid="{14B1E007-9DC4-4734-B063-A51D3D738A37}">
    <filterColumn colId="0" hiddenButton="1"/>
    <filterColumn colId="1" hiddenButton="1"/>
    <filterColumn colId="2" hiddenButton="1"/>
    <filterColumn colId="3" hiddenButton="1"/>
  </autoFilter>
  <tableColumns count="4">
    <tableColumn id="1" xr3:uid="{D28598EA-A667-47E4-B385-AA85AE757C24}" name="Problema encontrado" dataDxfId="3"/>
    <tableColumn id="2" xr3:uid="{0ED5FA8E-B1EB-471D-A22C-2EB1BF15E65E}" name="Coluna" dataDxfId="2"/>
    <tableColumn id="3" xr3:uid="{F1288AC6-20A8-4052-AB4C-D46A08A12752}" name="O que foi feito" dataDxfId="1"/>
    <tableColumn id="4" xr3:uid="{980019AC-01F4-46AF-B701-387ADBEBA003}" name="Por quê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selection activeCell="H8" sqref="H8"/>
    </sheetView>
  </sheetViews>
  <sheetFormatPr defaultColWidth="9.140625" defaultRowHeight="15"/>
  <cols>
    <col min="1" max="3" width="18.85546875" customWidth="1"/>
    <col min="4" max="4" width="18.85546875" style="54" customWidth="1"/>
    <col min="5" max="5" width="11.42578125" bestFit="1" customWidth="1"/>
    <col min="6" max="6" width="18.85546875" customWidth="1"/>
  </cols>
  <sheetData>
    <row r="1" spans="1:11" ht="18.75">
      <c r="A1" s="71" t="s">
        <v>0</v>
      </c>
      <c r="B1" s="71"/>
      <c r="C1" s="71"/>
      <c r="D1" s="71"/>
      <c r="E1" s="71"/>
    </row>
    <row r="2" spans="1:11">
      <c r="A2" s="5" t="s">
        <v>1</v>
      </c>
      <c r="B2" s="5" t="s">
        <v>2</v>
      </c>
      <c r="C2" s="5" t="s">
        <v>3</v>
      </c>
      <c r="D2" s="50" t="s">
        <v>4</v>
      </c>
      <c r="E2" s="5" t="s">
        <v>5</v>
      </c>
      <c r="F2" s="1"/>
    </row>
    <row r="3" spans="1:11">
      <c r="A3" s="43" t="s">
        <v>6</v>
      </c>
      <c r="B3" s="8" t="s">
        <v>7</v>
      </c>
      <c r="C3" s="8" t="s">
        <v>8</v>
      </c>
      <c r="D3" s="51">
        <v>29.79</v>
      </c>
      <c r="E3" s="40" t="s">
        <v>9</v>
      </c>
    </row>
    <row r="4" spans="1:11">
      <c r="A4" s="44">
        <v>1</v>
      </c>
      <c r="B4" s="7" t="s">
        <v>7</v>
      </c>
      <c r="C4" s="7" t="s">
        <v>8</v>
      </c>
      <c r="D4" s="52">
        <v>3.89</v>
      </c>
      <c r="E4" s="41">
        <v>10</v>
      </c>
    </row>
    <row r="5" spans="1:11">
      <c r="A5" s="43">
        <v>3</v>
      </c>
      <c r="B5" s="8" t="s">
        <v>10</v>
      </c>
      <c r="C5" s="8" t="s">
        <v>11</v>
      </c>
      <c r="D5" s="51">
        <v>3.38</v>
      </c>
      <c r="E5" s="40">
        <v>30</v>
      </c>
    </row>
    <row r="6" spans="1:11">
      <c r="A6" s="45">
        <v>4</v>
      </c>
      <c r="B6" s="9" t="s">
        <v>12</v>
      </c>
      <c r="C6" s="9" t="s">
        <v>13</v>
      </c>
      <c r="D6" s="53">
        <v>13.43</v>
      </c>
      <c r="E6" s="42">
        <v>40</v>
      </c>
    </row>
    <row r="7" spans="1:11">
      <c r="A7" s="6"/>
    </row>
    <row r="9" spans="1:11" ht="18.75">
      <c r="A9" s="57" t="s">
        <v>14</v>
      </c>
      <c r="B9" s="57"/>
      <c r="C9" s="57"/>
      <c r="D9" s="55"/>
      <c r="E9" s="28"/>
      <c r="F9" s="28"/>
      <c r="G9" s="28"/>
    </row>
    <row r="10" spans="1:11">
      <c r="A10" s="61" t="s">
        <v>15</v>
      </c>
      <c r="B10" s="62"/>
      <c r="C10" s="63"/>
      <c r="D10" s="55"/>
      <c r="E10" s="28"/>
      <c r="F10" s="28"/>
      <c r="G10" s="28"/>
      <c r="H10" s="27"/>
      <c r="I10" s="27"/>
      <c r="J10" s="27"/>
      <c r="K10" s="27"/>
    </row>
    <row r="11" spans="1:11">
      <c r="A11" s="68" t="s">
        <v>16</v>
      </c>
      <c r="B11" s="69"/>
      <c r="C11" s="70"/>
      <c r="D11" s="55"/>
      <c r="E11" s="28"/>
      <c r="F11" s="28"/>
      <c r="G11" s="28"/>
    </row>
  </sheetData>
  <autoFilter ref="A2:E6" xr:uid="{00000000-0001-0000-0000-000000000000}"/>
  <mergeCells count="4">
    <mergeCell ref="A10:C10"/>
    <mergeCell ref="A11:C11"/>
    <mergeCell ref="A1:E1"/>
    <mergeCell ref="A9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85CA-BE05-492E-B193-865A502A9C6C}">
  <dimension ref="A1:M13"/>
  <sheetViews>
    <sheetView workbookViewId="0">
      <selection activeCell="E16" sqref="E16"/>
    </sheetView>
  </sheetViews>
  <sheetFormatPr defaultRowHeight="15"/>
  <cols>
    <col min="1" max="1" width="15.28515625" bestFit="1" customWidth="1"/>
    <col min="2" max="2" width="11.5703125" bestFit="1" customWidth="1"/>
    <col min="3" max="3" width="10" bestFit="1" customWidth="1"/>
    <col min="4" max="4" width="12.28515625" bestFit="1" customWidth="1"/>
  </cols>
  <sheetData>
    <row r="1" spans="1:13" ht="18.75">
      <c r="A1" s="72" t="s">
        <v>17</v>
      </c>
      <c r="B1" s="72"/>
      <c r="C1" s="72"/>
      <c r="D1" s="72"/>
    </row>
    <row r="2" spans="1:13">
      <c r="A2" s="10" t="s">
        <v>18</v>
      </c>
      <c r="B2" s="10" t="s">
        <v>19</v>
      </c>
      <c r="C2" s="11" t="s">
        <v>20</v>
      </c>
      <c r="D2" s="10" t="s">
        <v>21</v>
      </c>
    </row>
    <row r="3" spans="1:13">
      <c r="A3" s="12" t="s">
        <v>22</v>
      </c>
      <c r="B3" s="12" t="s">
        <v>23</v>
      </c>
      <c r="C3" s="39">
        <v>8</v>
      </c>
      <c r="D3" s="12" t="str">
        <f>IF(C3&gt;5,"Otimo", IF(C3=5, "Regular", "Pessimo"))</f>
        <v>Otimo</v>
      </c>
    </row>
    <row r="4" spans="1:13">
      <c r="A4" s="12" t="s">
        <v>24</v>
      </c>
      <c r="B4" s="12" t="s">
        <v>25</v>
      </c>
      <c r="C4" s="39">
        <v>5</v>
      </c>
      <c r="D4" s="12" t="str">
        <f t="shared" ref="D4:D8" si="0">IF(C4&gt;5,"Otimo", IF(C4=5, "Regular", "Pessimo"))</f>
        <v>Regular</v>
      </c>
    </row>
    <row r="5" spans="1:13">
      <c r="A5" s="12" t="s">
        <v>26</v>
      </c>
      <c r="B5" s="12" t="s">
        <v>27</v>
      </c>
      <c r="C5" s="39">
        <v>9</v>
      </c>
      <c r="D5" s="12" t="str">
        <f t="shared" si="0"/>
        <v>Otimo</v>
      </c>
    </row>
    <row r="6" spans="1:13">
      <c r="A6" s="12" t="s">
        <v>28</v>
      </c>
      <c r="B6" s="12" t="s">
        <v>29</v>
      </c>
      <c r="C6" s="39">
        <v>4</v>
      </c>
      <c r="D6" s="12" t="str">
        <f t="shared" si="0"/>
        <v>Pessimo</v>
      </c>
    </row>
    <row r="7" spans="1:13">
      <c r="A7" s="12" t="s">
        <v>30</v>
      </c>
      <c r="B7" s="12" t="s">
        <v>31</v>
      </c>
      <c r="C7" s="39">
        <v>6</v>
      </c>
      <c r="D7" s="12" t="str">
        <f t="shared" si="0"/>
        <v>Otimo</v>
      </c>
    </row>
    <row r="8" spans="1:13">
      <c r="A8" s="12" t="s">
        <v>32</v>
      </c>
      <c r="B8" s="12" t="s">
        <v>33</v>
      </c>
      <c r="C8" s="39">
        <v>3</v>
      </c>
      <c r="D8" s="12" t="str">
        <f t="shared" si="0"/>
        <v>Pessimo</v>
      </c>
    </row>
    <row r="9" spans="1:13">
      <c r="A9" s="13"/>
      <c r="B9" s="13"/>
      <c r="C9" s="13"/>
      <c r="D9" s="13"/>
    </row>
    <row r="11" spans="1:13" ht="18.75">
      <c r="A11" s="57" t="s">
        <v>14</v>
      </c>
      <c r="B11" s="57"/>
      <c r="C11" s="57"/>
      <c r="D11" s="28"/>
    </row>
    <row r="12" spans="1:13">
      <c r="A12" s="58" t="s">
        <v>34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60"/>
    </row>
    <row r="13" spans="1:13">
      <c r="A13" s="29"/>
      <c r="B13" s="29"/>
      <c r="C13" s="29"/>
    </row>
  </sheetData>
  <mergeCells count="3">
    <mergeCell ref="A1:D1"/>
    <mergeCell ref="A11:C11"/>
    <mergeCell ref="A12:M1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993A-7E23-4A64-916C-63427E25B0BC}">
  <dimension ref="A1:I15"/>
  <sheetViews>
    <sheetView tabSelected="1" workbookViewId="0">
      <selection activeCell="A14" sqref="A14:D14"/>
    </sheetView>
  </sheetViews>
  <sheetFormatPr defaultRowHeight="15"/>
  <cols>
    <col min="1" max="1" width="6.140625" bestFit="1" customWidth="1"/>
    <col min="2" max="2" width="18.42578125" bestFit="1" customWidth="1"/>
    <col min="3" max="5" width="19.5703125" bestFit="1" customWidth="1"/>
    <col min="6" max="6" width="14.5703125" bestFit="1" customWidth="1"/>
    <col min="7" max="7" width="13" bestFit="1" customWidth="1"/>
    <col min="8" max="8" width="9.42578125" hidden="1" customWidth="1"/>
    <col min="9" max="13" width="11.42578125" bestFit="1" customWidth="1"/>
  </cols>
  <sheetData>
    <row r="1" spans="1:9" ht="18.75" customHeight="1">
      <c r="A1" s="73" t="s">
        <v>35</v>
      </c>
      <c r="B1" s="74"/>
      <c r="C1" s="74"/>
      <c r="D1" s="74"/>
      <c r="E1" s="74"/>
      <c r="F1" s="74"/>
      <c r="G1" s="74"/>
      <c r="H1" s="74"/>
    </row>
    <row r="2" spans="1:9" ht="18.75" customHeight="1">
      <c r="A2" s="75"/>
      <c r="B2" s="74"/>
      <c r="C2" s="74"/>
      <c r="D2" s="74"/>
      <c r="E2" s="74"/>
      <c r="F2" s="74"/>
      <c r="G2" s="74"/>
      <c r="H2" s="74"/>
    </row>
    <row r="3" spans="1:9" ht="15.75">
      <c r="A3" s="14" t="s">
        <v>36</v>
      </c>
      <c r="B3" s="15" t="s">
        <v>37</v>
      </c>
      <c r="C3" s="15" t="s">
        <v>38</v>
      </c>
      <c r="D3" s="15" t="s">
        <v>39</v>
      </c>
      <c r="E3" s="15" t="s">
        <v>40</v>
      </c>
      <c r="F3" s="15" t="s">
        <v>41</v>
      </c>
      <c r="G3" s="16" t="s">
        <v>21</v>
      </c>
    </row>
    <row r="4" spans="1:9">
      <c r="A4" s="35">
        <v>2001</v>
      </c>
      <c r="B4" s="17" t="s">
        <v>42</v>
      </c>
      <c r="C4" s="35">
        <v>5</v>
      </c>
      <c r="D4" s="37">
        <v>6</v>
      </c>
      <c r="E4" s="32">
        <v>8</v>
      </c>
      <c r="F4" s="20">
        <f>AVERAGE(C4:E4)</f>
        <v>6.333333333333333</v>
      </c>
      <c r="G4" s="19" t="str">
        <f>IF(F4&gt;6, "Aprovado", "Reprovado")</f>
        <v>Aprovado</v>
      </c>
    </row>
    <row r="5" spans="1:9">
      <c r="A5" s="35">
        <v>2002</v>
      </c>
      <c r="B5" s="17" t="s">
        <v>43</v>
      </c>
      <c r="C5" s="35">
        <v>10</v>
      </c>
      <c r="D5" s="35">
        <v>7</v>
      </c>
      <c r="E5" s="33">
        <v>8</v>
      </c>
      <c r="F5" s="18">
        <f t="shared" ref="F5:F8" si="0">AVERAGE(C5:E5)</f>
        <v>8.3333333333333339</v>
      </c>
      <c r="G5" s="19" t="str">
        <f t="shared" ref="G5:G8" si="1">IF(F5&gt;6, "Aprovado", "Reprovado")</f>
        <v>Aprovado</v>
      </c>
    </row>
    <row r="6" spans="1:9">
      <c r="A6" s="35">
        <v>2003</v>
      </c>
      <c r="B6" s="17" t="s">
        <v>44</v>
      </c>
      <c r="C6" s="35">
        <v>5</v>
      </c>
      <c r="D6" s="35">
        <v>2</v>
      </c>
      <c r="E6" s="34">
        <v>8</v>
      </c>
      <c r="F6" s="18">
        <f t="shared" si="0"/>
        <v>5</v>
      </c>
      <c r="G6" s="19" t="str">
        <f t="shared" si="1"/>
        <v>Reprovado</v>
      </c>
    </row>
    <row r="7" spans="1:9">
      <c r="A7" s="35">
        <v>2004</v>
      </c>
      <c r="B7" s="17" t="s">
        <v>45</v>
      </c>
      <c r="C7" s="35">
        <v>2</v>
      </c>
      <c r="D7" s="35">
        <v>1</v>
      </c>
      <c r="E7" s="35">
        <v>3</v>
      </c>
      <c r="F7" s="18">
        <f t="shared" si="0"/>
        <v>2</v>
      </c>
      <c r="G7" s="19" t="str">
        <f t="shared" si="1"/>
        <v>Reprovado</v>
      </c>
    </row>
    <row r="8" spans="1:9">
      <c r="A8" s="36">
        <v>2005</v>
      </c>
      <c r="B8" s="22" t="s">
        <v>46</v>
      </c>
      <c r="C8" s="36">
        <v>4</v>
      </c>
      <c r="D8" s="38">
        <v>7</v>
      </c>
      <c r="E8" s="36">
        <v>8</v>
      </c>
      <c r="F8" s="23">
        <f t="shared" si="0"/>
        <v>6.333333333333333</v>
      </c>
      <c r="G8" s="24" t="str">
        <f t="shared" si="1"/>
        <v>Aprovado</v>
      </c>
    </row>
    <row r="12" spans="1:9">
      <c r="E12" s="21"/>
    </row>
    <row r="13" spans="1:9" ht="18.75">
      <c r="A13" s="57" t="s">
        <v>14</v>
      </c>
      <c r="B13" s="57"/>
      <c r="C13" s="57"/>
      <c r="D13" s="28"/>
      <c r="H13" s="2"/>
    </row>
    <row r="14" spans="1:9">
      <c r="A14" s="58" t="s">
        <v>47</v>
      </c>
      <c r="B14" s="59"/>
      <c r="C14" s="59"/>
      <c r="D14" s="60"/>
    </row>
    <row r="15" spans="1:9">
      <c r="A15" s="65" t="s">
        <v>48</v>
      </c>
      <c r="B15" s="66"/>
      <c r="C15" s="66"/>
      <c r="D15" s="66"/>
      <c r="E15" s="66"/>
      <c r="F15" s="66"/>
      <c r="G15" s="66"/>
      <c r="H15" s="66"/>
      <c r="I15" s="67"/>
    </row>
  </sheetData>
  <mergeCells count="4">
    <mergeCell ref="A1:H2"/>
    <mergeCell ref="A13:C13"/>
    <mergeCell ref="A15:I15"/>
    <mergeCell ref="A14:D14"/>
  </mergeCells>
  <conditionalFormatting sqref="G3:G8">
    <cfRule type="containsText" dxfId="31" priority="5" operator="containsText" text="Aprovado">
      <formula>NOT(ISERROR(SEARCH("Aprovado",G3)))</formula>
    </cfRule>
  </conditionalFormatting>
  <conditionalFormatting sqref="G3:G8">
    <cfRule type="containsText" dxfId="30" priority="4" operator="containsText" text="Reprovado">
      <formula>NOT(ISERROR(SEARCH("Reprovado",G3)))</formula>
    </cfRule>
  </conditionalFormatting>
  <conditionalFormatting sqref="C4:F8">
    <cfRule type="cellIs" dxfId="29" priority="3" operator="lessThan">
      <formula>6</formula>
    </cfRule>
  </conditionalFormatting>
  <conditionalFormatting sqref="C4:F8">
    <cfRule type="cellIs" dxfId="28" priority="2" operator="greaterThan">
      <formula>6</formula>
    </cfRule>
  </conditionalFormatting>
  <conditionalFormatting sqref="D4">
    <cfRule type="cellIs" dxfId="27" priority="1" operator="greaterThanOrEqual">
      <formula>6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CB19-5237-4D61-8244-03851791C079}">
  <dimension ref="A1:S15"/>
  <sheetViews>
    <sheetView workbookViewId="0">
      <selection activeCell="E19" sqref="E19"/>
    </sheetView>
  </sheetViews>
  <sheetFormatPr defaultRowHeight="15"/>
  <cols>
    <col min="1" max="1" width="21.7109375" bestFit="1" customWidth="1"/>
    <col min="2" max="2" width="8.42578125" bestFit="1" customWidth="1"/>
    <col min="3" max="4" width="15.7109375" bestFit="1" customWidth="1"/>
    <col min="5" max="5" width="29" bestFit="1" customWidth="1"/>
    <col min="6" max="6" width="11" bestFit="1" customWidth="1"/>
  </cols>
  <sheetData>
    <row r="1" spans="1:19" ht="18.75">
      <c r="A1" s="82" t="s">
        <v>49</v>
      </c>
      <c r="B1" s="82"/>
      <c r="C1" s="82"/>
      <c r="D1" s="82"/>
      <c r="E1" s="82"/>
      <c r="F1" s="82"/>
    </row>
    <row r="2" spans="1:19">
      <c r="A2" s="25" t="s">
        <v>50</v>
      </c>
      <c r="B2" s="25" t="s">
        <v>51</v>
      </c>
      <c r="C2" s="25" t="s">
        <v>52</v>
      </c>
      <c r="D2" s="25" t="s">
        <v>53</v>
      </c>
      <c r="E2" s="25" t="s">
        <v>54</v>
      </c>
      <c r="F2" s="25" t="s">
        <v>55</v>
      </c>
    </row>
    <row r="3" spans="1:19">
      <c r="A3" s="26" t="s">
        <v>56</v>
      </c>
      <c r="B3" s="4">
        <v>17</v>
      </c>
      <c r="C3" s="3" t="s">
        <v>57</v>
      </c>
      <c r="D3" s="31" t="s">
        <v>58</v>
      </c>
      <c r="E3" s="4">
        <v>1</v>
      </c>
      <c r="F3" s="26" t="str">
        <f t="shared" ref="F3:F7" si="0">IF(AND(B3&gt;=18, OR(C3="Sim", D3="Sim"), E3&gt;=3), "Apto", "Não apto")</f>
        <v>Não apto</v>
      </c>
    </row>
    <row r="4" spans="1:19">
      <c r="A4" s="26" t="s">
        <v>59</v>
      </c>
      <c r="B4" s="4">
        <v>24</v>
      </c>
      <c r="C4" s="3" t="s">
        <v>58</v>
      </c>
      <c r="D4" s="31" t="s">
        <v>58</v>
      </c>
      <c r="E4" s="4">
        <v>3</v>
      </c>
      <c r="F4" s="26" t="str">
        <f t="shared" si="0"/>
        <v>Apto</v>
      </c>
    </row>
    <row r="5" spans="1:19">
      <c r="A5" s="26" t="s">
        <v>60</v>
      </c>
      <c r="B5" s="4">
        <v>28</v>
      </c>
      <c r="C5" s="3" t="s">
        <v>58</v>
      </c>
      <c r="D5" s="31" t="s">
        <v>58</v>
      </c>
      <c r="E5" s="4">
        <v>4</v>
      </c>
      <c r="F5" s="26" t="str">
        <f t="shared" si="0"/>
        <v>Apto</v>
      </c>
    </row>
    <row r="6" spans="1:19">
      <c r="A6" s="26" t="s">
        <v>61</v>
      </c>
      <c r="B6" s="4">
        <v>18</v>
      </c>
      <c r="C6" s="3" t="s">
        <v>58</v>
      </c>
      <c r="D6" s="31" t="s">
        <v>57</v>
      </c>
      <c r="E6" s="4">
        <v>1</v>
      </c>
      <c r="F6" s="26" t="str">
        <f t="shared" si="0"/>
        <v>Não apto</v>
      </c>
    </row>
    <row r="7" spans="1:19">
      <c r="A7" s="26" t="s">
        <v>62</v>
      </c>
      <c r="B7" s="4">
        <v>22</v>
      </c>
      <c r="C7" s="3" t="s">
        <v>58</v>
      </c>
      <c r="D7" s="31" t="s">
        <v>58</v>
      </c>
      <c r="E7" s="4">
        <v>2</v>
      </c>
      <c r="F7" s="26" t="str">
        <f t="shared" si="0"/>
        <v>Não apto</v>
      </c>
    </row>
    <row r="11" spans="1:19" ht="18.75">
      <c r="A11" s="82" t="s">
        <v>63</v>
      </c>
      <c r="B11" s="82"/>
      <c r="C11" s="82"/>
      <c r="E11" s="64" t="s">
        <v>14</v>
      </c>
      <c r="F11" s="64"/>
      <c r="G11" s="64"/>
      <c r="H11" s="28"/>
    </row>
    <row r="12" spans="1:19">
      <c r="A12" s="76" t="s">
        <v>64</v>
      </c>
      <c r="B12" s="77"/>
      <c r="C12" s="78"/>
      <c r="E12" s="61" t="s">
        <v>65</v>
      </c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3"/>
    </row>
    <row r="13" spans="1:19">
      <c r="A13" s="79" t="s">
        <v>66</v>
      </c>
      <c r="B13" s="80"/>
      <c r="C13" s="81"/>
      <c r="E13" s="30"/>
      <c r="F13" s="30"/>
      <c r="G13" s="30"/>
      <c r="H13" s="28"/>
    </row>
    <row r="14" spans="1:19">
      <c r="A14" s="76" t="s">
        <v>67</v>
      </c>
      <c r="B14" s="77"/>
      <c r="C14" s="78"/>
    </row>
    <row r="15" spans="1:19">
      <c r="A15" s="79" t="s">
        <v>68</v>
      </c>
      <c r="B15" s="80"/>
      <c r="C15" s="81"/>
    </row>
  </sheetData>
  <mergeCells count="8">
    <mergeCell ref="A14:C14"/>
    <mergeCell ref="A12:C12"/>
    <mergeCell ref="A13:C13"/>
    <mergeCell ref="A15:C15"/>
    <mergeCell ref="A1:F1"/>
    <mergeCell ref="A11:C11"/>
    <mergeCell ref="E11:G11"/>
    <mergeCell ref="E12:S12"/>
  </mergeCells>
  <conditionalFormatting sqref="F3:F7">
    <cfRule type="containsText" dxfId="14" priority="2" operator="containsText" text="Não apto">
      <formula>NOT(ISERROR(SEARCH("Não apto",F3)))</formula>
    </cfRule>
  </conditionalFormatting>
  <conditionalFormatting sqref="F4:F5">
    <cfRule type="containsText" dxfId="13" priority="1" operator="containsText" text="Apto">
      <formula>NOT(ISERROR(SEARCH("Apto",F4)))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4BB7-FC08-446D-BFA8-2E6AD2BCBE48}">
  <dimension ref="A1:M38"/>
  <sheetViews>
    <sheetView topLeftCell="A18" workbookViewId="0">
      <selection activeCell="J4" sqref="J4"/>
    </sheetView>
  </sheetViews>
  <sheetFormatPr defaultRowHeight="15"/>
  <cols>
    <col min="1" max="1" width="21.85546875" customWidth="1"/>
    <col min="2" max="2" width="15" customWidth="1"/>
    <col min="3" max="3" width="17.85546875" customWidth="1"/>
    <col min="4" max="4" width="18.85546875" customWidth="1"/>
  </cols>
  <sheetData>
    <row r="1" spans="1:13" ht="23.25">
      <c r="A1" s="56" t="s">
        <v>69</v>
      </c>
      <c r="B1" s="56"/>
      <c r="C1" s="56"/>
    </row>
    <row r="2" spans="1:13" ht="18.75">
      <c r="A2" s="87" t="s">
        <v>14</v>
      </c>
      <c r="B2" s="87"/>
      <c r="C2" s="87"/>
      <c r="D2" s="29"/>
      <c r="E2" s="29"/>
      <c r="F2" s="28"/>
      <c r="G2" s="83"/>
      <c r="H2" s="83"/>
    </row>
    <row r="3" spans="1:13">
      <c r="A3" s="85" t="s">
        <v>15</v>
      </c>
      <c r="B3" s="85"/>
      <c r="C3" s="86"/>
      <c r="D3" s="29"/>
      <c r="E3" s="29"/>
      <c r="F3" s="28"/>
    </row>
    <row r="4" spans="1:13">
      <c r="A4" s="84" t="s">
        <v>16</v>
      </c>
      <c r="B4" s="84"/>
      <c r="C4" s="30"/>
      <c r="D4" s="30"/>
      <c r="E4" s="28"/>
      <c r="F4" s="29"/>
    </row>
    <row r="9" spans="1:13" ht="23.25">
      <c r="A9" s="56" t="s">
        <v>70</v>
      </c>
      <c r="B9" s="56"/>
      <c r="C9" s="56"/>
    </row>
    <row r="10" spans="1:13" ht="18.75">
      <c r="A10" s="57" t="s">
        <v>14</v>
      </c>
      <c r="B10" s="57"/>
      <c r="C10" s="57"/>
      <c r="D10" s="28"/>
      <c r="K10" s="29"/>
      <c r="L10" s="29"/>
      <c r="M10" s="29"/>
    </row>
    <row r="11" spans="1:13">
      <c r="A11" s="86" t="s">
        <v>34</v>
      </c>
      <c r="B11" s="86"/>
      <c r="C11" s="86"/>
      <c r="D11" s="86"/>
      <c r="E11" s="86"/>
      <c r="F11" s="86"/>
      <c r="G11" s="86"/>
      <c r="H11" s="86"/>
      <c r="I11" s="86"/>
      <c r="J11" s="86"/>
      <c r="K11" s="29"/>
      <c r="L11" s="29"/>
      <c r="M11" s="29"/>
    </row>
    <row r="12" spans="1:13">
      <c r="K12" s="29"/>
      <c r="L12" s="29"/>
      <c r="M12" s="29"/>
    </row>
    <row r="17" spans="1:13" ht="23.25">
      <c r="A17" s="56" t="s">
        <v>71</v>
      </c>
      <c r="B17" s="56"/>
      <c r="C17" s="56"/>
      <c r="G17" s="28"/>
      <c r="H17" s="28"/>
      <c r="I17" s="28"/>
    </row>
    <row r="18" spans="1:13" ht="18.75">
      <c r="A18" s="57" t="s">
        <v>14</v>
      </c>
      <c r="B18" s="57"/>
      <c r="C18" s="57"/>
      <c r="D18" s="28"/>
      <c r="G18" s="28"/>
      <c r="H18" s="28"/>
      <c r="I18" s="28"/>
    </row>
    <row r="19" spans="1:13">
      <c r="A19" s="85" t="s">
        <v>47</v>
      </c>
      <c r="B19" s="85"/>
      <c r="C19" s="85"/>
      <c r="D19" s="28"/>
      <c r="G19" s="28"/>
      <c r="H19" s="28"/>
      <c r="I19" s="28"/>
    </row>
    <row r="20" spans="1:13">
      <c r="A20" s="84" t="s">
        <v>48</v>
      </c>
      <c r="B20" s="84"/>
      <c r="C20" s="84"/>
      <c r="D20" s="84"/>
      <c r="E20" s="84"/>
      <c r="F20" s="84"/>
      <c r="G20" s="84"/>
      <c r="H20" s="84"/>
      <c r="I20" s="84"/>
    </row>
    <row r="25" spans="1:13" ht="23.25">
      <c r="A25" s="56" t="s">
        <v>72</v>
      </c>
      <c r="B25" s="56"/>
      <c r="C25" s="56"/>
    </row>
    <row r="26" spans="1:13" ht="18.75">
      <c r="A26" s="57" t="s">
        <v>14</v>
      </c>
      <c r="B26" s="57"/>
      <c r="C26" s="57"/>
      <c r="D26" s="28"/>
    </row>
    <row r="27" spans="1:13">
      <c r="A27" s="86" t="s">
        <v>65</v>
      </c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</row>
    <row r="33" spans="1:4">
      <c r="A33" t="s">
        <v>73</v>
      </c>
      <c r="B33" t="s">
        <v>74</v>
      </c>
      <c r="C33" t="s">
        <v>75</v>
      </c>
      <c r="D33" s="46" t="s">
        <v>76</v>
      </c>
    </row>
    <row r="34" spans="1:4" ht="106.5">
      <c r="A34" s="46" t="s">
        <v>77</v>
      </c>
      <c r="B34" s="46" t="s">
        <v>78</v>
      </c>
      <c r="C34" s="46" t="s">
        <v>79</v>
      </c>
      <c r="D34" s="47" t="s">
        <v>80</v>
      </c>
    </row>
    <row r="35" spans="1:4" ht="91.5">
      <c r="A35" s="48" t="s">
        <v>81</v>
      </c>
      <c r="B35" s="48" t="s">
        <v>4</v>
      </c>
      <c r="C35" s="48" t="s">
        <v>82</v>
      </c>
      <c r="D35" s="49" t="s">
        <v>83</v>
      </c>
    </row>
    <row r="36" spans="1:4" ht="60.75">
      <c r="A36" s="46" t="s">
        <v>84</v>
      </c>
      <c r="B36" s="46" t="s">
        <v>85</v>
      </c>
      <c r="C36" s="46" t="s">
        <v>86</v>
      </c>
      <c r="D36" s="47" t="s">
        <v>87</v>
      </c>
    </row>
    <row r="37" spans="1:4" ht="60.75">
      <c r="A37" s="48" t="s">
        <v>88</v>
      </c>
      <c r="B37" s="48" t="s">
        <v>89</v>
      </c>
      <c r="C37" s="48" t="s">
        <v>90</v>
      </c>
      <c r="D37" s="49" t="s">
        <v>91</v>
      </c>
    </row>
    <row r="38" spans="1:4" ht="67.5" customHeight="1">
      <c r="A38" s="46" t="s">
        <v>92</v>
      </c>
      <c r="B38" s="46" t="s">
        <v>93</v>
      </c>
      <c r="C38" s="46" t="s">
        <v>94</v>
      </c>
      <c r="D38" s="47" t="s">
        <v>95</v>
      </c>
    </row>
  </sheetData>
  <mergeCells count="14">
    <mergeCell ref="A4:B4"/>
    <mergeCell ref="A26:C26"/>
    <mergeCell ref="A17:C17"/>
    <mergeCell ref="A18:C18"/>
    <mergeCell ref="A20:I20"/>
    <mergeCell ref="A25:C25"/>
    <mergeCell ref="A27:M27"/>
    <mergeCell ref="A19:C19"/>
    <mergeCell ref="A1:C1"/>
    <mergeCell ref="A10:C10"/>
    <mergeCell ref="A9:C9"/>
    <mergeCell ref="A3:C3"/>
    <mergeCell ref="A11:J11"/>
    <mergeCell ref="A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2026-09-02T17:16:18Z</dcterms:created>
  <dcterms:modified xsi:type="dcterms:W3CDTF">2026-09-13T01:09:43Z</dcterms:modified>
  <cp:category/>
  <cp:contentStatus/>
</cp:coreProperties>
</file>